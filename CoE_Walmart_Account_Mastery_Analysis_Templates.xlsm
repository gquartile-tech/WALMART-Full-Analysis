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WALMART FULL ANALYSIS/AGENT MASTERY SCORE/"/>
    </mc:Choice>
  </mc:AlternateContent>
  <xr:revisionPtr revIDLastSave="241" documentId="8_{070950E3-E89F-4947-8F13-1A3D60E112EC}" xr6:coauthVersionLast="47" xr6:coauthVersionMax="47" xr10:uidLastSave="{4228D0BE-4422-4B44-BDFF-F85382CBF9DC}"/>
  <bookViews>
    <workbookView xWindow="-28920" yWindow="-15" windowWidth="29040" windowHeight="15720"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2" l="1"/>
  <c r="L4" i="2"/>
  <c r="L5" i="2"/>
  <c r="L6" i="2"/>
  <c r="L7" i="2"/>
  <c r="L8" i="2"/>
  <c r="L9" i="2"/>
  <c r="L10" i="2"/>
  <c r="L11" i="2"/>
  <c r="L12" i="2"/>
  <c r="N3" i="2"/>
  <c r="E9" i="3" s="1"/>
  <c r="N4" i="2"/>
  <c r="E10" i="3" s="1"/>
  <c r="N5" i="2"/>
  <c r="E11" i="3" s="1"/>
  <c r="N6" i="2"/>
  <c r="E12" i="3" s="1"/>
  <c r="N7" i="2"/>
  <c r="E13" i="3" s="1"/>
  <c r="N8" i="2"/>
  <c r="E14" i="3" s="1"/>
  <c r="N9" i="2"/>
  <c r="E15" i="3" s="1"/>
  <c r="N10" i="2"/>
  <c r="E16" i="3" s="1"/>
  <c r="N11" i="2"/>
  <c r="E17" i="3" s="1"/>
  <c r="N12" i="2"/>
  <c r="E18"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L2" i="2"/>
  <c r="C11" i="3"/>
  <c r="B11" i="3"/>
  <c r="A11" i="3"/>
  <c r="C10" i="3"/>
  <c r="B10" i="3"/>
  <c r="A10" i="3"/>
  <c r="C9" i="3"/>
  <c r="B9" i="3"/>
  <c r="A9" i="3"/>
  <c r="D8" i="3"/>
  <c r="C8" i="3"/>
  <c r="B8" i="3"/>
  <c r="A8" i="3"/>
  <c r="N2" i="2"/>
  <c r="E8" i="3" s="1"/>
  <c r="A12" i="1" l="1" a="1"/>
  <c r="A12" i="1" s="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<sst xmlns="http://schemas.openxmlformats.org/spreadsheetml/2006/main" count="158" uniqueCount="117">
  <si>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</si>
  <si>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</si>
  <si>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</si>
  <si>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</si>
  <si>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</si>
  <si>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</si>
  <si>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</si>
  <si>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</si>
  <si>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</si>
  <si>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</si>
  <si>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</si>
  <si>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</si>
  <si>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</si>
  <si>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</si>
  <si>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</si>
  <si>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</si>
  <si>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</si>
  <si>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</si>
  <si>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</si>
  <si>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</si>
  <si>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</si>
  <si>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</si>
  <si>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</si>
  <si>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</si>
  <si>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</si>
  <si>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</si>
  <si>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</si>
  <si>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</si>
  <si>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</si>
  <si>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</si>
  <si>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</si>
  <si>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</si>
  <si>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</si>
  <si>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</si>
  <si>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</si>
  <si>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</si>
  <si>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</si>
  <si>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</si>
  <si>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</si>
  <si>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</si>
  <si>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</si>
  <si>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Mastery Grade</t>
  </si>
  <si>
    <t xml:space="preserve">Mastery Version &gt; </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</si>
  <si>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</si>
  <si>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</si>
  <si>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</si>
  <si>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</si>
  <si>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</si>
  <si>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</si>
  <si>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</si>
  <si>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Account Setup</t>
  </si>
  <si>
    <t>Account Objectives Defined</t>
  </si>
  <si>
    <t>Account Challenges Documented</t>
  </si>
  <si>
    <t>Client Contact Cadence</t>
  </si>
  <si>
    <t>Check if a clear advertising objective is documented for the account</t>
  </si>
  <si>
    <t>Objective framing is the anchor for judging whether Walmart campaigns are managed against the right business outcome</t>
  </si>
  <si>
    <t>Review Client Success Insights Report field for objective and KPI context</t>
  </si>
  <si>
    <t>17_Client_Success_Insights_Repo</t>
  </si>
  <si>
    <t>Check if account-level blockers or constraints are captured in CS notes</t>
  </si>
  <si>
    <t>Verify recent client interactions are logged in the last 6 months</t>
  </si>
  <si>
    <t>Recent call cadence confirms the account narrative is current and client-informed</t>
  </si>
  <si>
    <t>Review Gong Call Insights report for last call date and frequency</t>
  </si>
  <si>
    <t>15_Gong_Call_Insights</t>
  </si>
  <si>
    <t>34_Campaign_Metadata</t>
  </si>
  <si>
    <t>Objective vs Near-Term Alignment</t>
  </si>
  <si>
    <t>Seasonality Awareness</t>
  </si>
  <si>
    <t>Customizations Documented &amp; Justified</t>
  </si>
  <si>
    <t>Client Journey Stage Mapped</t>
  </si>
  <si>
    <t>Narrative Consistency Across Documents</t>
  </si>
  <si>
    <t>Verify any framework exceptions or custom setups are noted and justified in CS notes</t>
  </si>
  <si>
    <t>Undocumented customizations create review blind spots — the CoE cannot tell if deviations are intentional</t>
  </si>
  <si>
    <t>Review Client Success Insights Report narrative and project dataset for exception flags</t>
  </si>
  <si>
    <t>17_Client_Success_Insights_Repo + 14_Project_Dataset_on_SF</t>
  </si>
  <si>
    <t>Confirm the client journey stage is documented and current</t>
  </si>
  <si>
    <t>Journey stage drives recommended strategy — onboarding, growth, and mature accounts need different approaches</t>
  </si>
  <si>
    <t>Review 18_Client_Journey_Insights_Data for stage and last updated date</t>
  </si>
  <si>
    <t>18_Client_Journey_Insights_Data</t>
  </si>
  <si>
    <t>Check that KPI targets in the project dataset align with the strategy narrative in CS notes</t>
  </si>
  <si>
    <t>Inconsistent targets across documents signal misalignment between CSM intent and documented strategy</t>
  </si>
  <si>
    <t>Cross-reference 14_Project_Dataset_on_SF targets vs 17_Client_Success_Insights_Repo narrative fields</t>
  </si>
  <si>
    <t>14_Project_Dataset_on_SF + 17_Client_Success_Insights_Repo</t>
  </si>
  <si>
    <t>Confirm seasonality is documented when relevant and accounted for in budgeting</t>
  </si>
  <si>
    <t>Unplanned seasonality causes budget gaps during peak weeks and over-spend during slow periods</t>
  </si>
  <si>
    <t>Review CS notes for seasonality flags; cross-check spend ramp in 04_L24M_Monthly_Performance_Sum</t>
  </si>
  <si>
    <t>17_Client_Success_Insights_Repo + 04_L24M_Monthly_Performance_Sum</t>
  </si>
  <si>
    <t>Confirm the stated account objective aligns with near-term KPI targets and campaign actions</t>
  </si>
  <si>
    <t>WM-M001</t>
  </si>
  <si>
    <t>WM-M002</t>
  </si>
  <si>
    <t>SF Target Completeness (3 targets)</t>
  </si>
  <si>
    <t>Verify ACoS target, ROAS target, and TACoS target are all documented in the project dataset</t>
  </si>
  <si>
    <t>Without all three targets documented, performance cannot be evaluated against intent — partial targets create blind spots</t>
  </si>
  <si>
    <t>Check project dataset for ACoS, ROAS, and TACoS target fields; flag if any are missing</t>
  </si>
  <si>
    <t>WM-M003</t>
  </si>
  <si>
    <t>Misalignment between declared objective and live strategy means budget is being optimized for the wrong outcome</t>
  </si>
  <si>
    <t>Cross-reference CS notes declared goal vs active campaign mix and KPI trend</t>
  </si>
  <si>
    <t>WM-M004</t>
  </si>
  <si>
    <t>Documented challenges show the CSM understands the real blockers affecting Walmart performance</t>
  </si>
  <si>
    <t>Review Client Success Insights Report narrative fields for challenge documentation</t>
  </si>
  <si>
    <t>WM-M007</t>
  </si>
  <si>
    <t>WM-M008</t>
  </si>
  <si>
    <t>WM-M009</t>
  </si>
  <si>
    <t>WM-M010</t>
  </si>
  <si>
    <t>WM-M011</t>
  </si>
  <si>
    <t>Platform Automation</t>
  </si>
  <si>
    <t>Quartile Management Rate</t>
  </si>
  <si>
    <t>Calculate % of active campaigns managed by Quartile (IsQuartile = true); target &gt;90%</t>
  </si>
  <si>
    <t>Low QT management rate means the platform's automation engine is not covering the full account — manual gaps create inconsistency</t>
  </si>
  <si>
    <t>Aggregate IsQuartile from 34_Campaign_Metadata for active campaigns; compute managed rate</t>
  </si>
  <si>
    <t>QT Campaign Type Tagging</t>
  </si>
  <si>
    <t>Verify QuartileCampaignType is properly assigned for all IsQuartile = true campaigns</t>
  </si>
  <si>
    <t>Untagged QT campaigns break automation logic and make performance attribution impossible</t>
  </si>
  <si>
    <t>Check IsQuartile and QuartileCampaignType in 34_Campaign_Metadata; flag nulls on QT campaigns</t>
  </si>
  <si>
    <t>14_Project_Dataset_on_SF</t>
  </si>
  <si>
    <t>WM-M005</t>
  </si>
  <si>
    <t>WM-M006</t>
  </si>
  <si>
    <t>Walmart v1.0</t>
  </si>
  <si>
    <t>What You Should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</si>
</sst>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5">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6">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11"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4" xfId="0" applyBorder="1" applyAlignment="1">
      <alignment wrapText="1"/>
    </xf>
    <xf numFmtId="0" fontId="13" fillId="0" borderId="13"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0" fillId="0" borderId="6" xfId="0" applyBorder="1"/>
  </cellXfs>
  <cellStyles count="1">
    <cellStyle name="Normal" xfId="0" builtinId="0"/>
  </cellStyles>
  <dxfs count="29">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2" totalsRowShown="0" headerRowDxfId="28" dataDxfId="26" headerRowBorderDxfId="27" tableBorderDxfId="25" totalsRowBorderDxfId="24">
  <autoFilter ref="A1:O12"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347DCAD8-CB4C-463C-8432-C63E464EC4BB}" name="What You Should Do" dataDxfId="0"/>
    <tableColumn id="8" xr3:uid="{00000000-0010-0000-0000-000008000000}" name="Data Source" dataDxfId="10"/>
    <tableColumn id="9" xr3:uid="{00000000-0010-0000-0000-000009000000}" name="Impact" dataDxfId="14">
      <calculatedColumnFormula>VLOOKUP(Table1[[#This Row],[Importance]],'Logic and Calculation'!$H$3:$J$12,3,FALSE)</calculatedColumnFormula>
    </tableColumn>
    <tableColumn id="10" xr3:uid="{00000000-0010-0000-0000-00000A000000}" name="Importance" dataDxfId="13"/>
    <tableColumn id="11" xr3:uid="{00000000-0010-0000-0000-00000B000000}" name="Priority" dataDxfId="12">
      <calculatedColumnFormula>VLOOKUP(Table1[[#This Row],[Importance]],'Logic and Calculation'!$H$3:$J$12,2,FALSE)</calculatedColumnFormula>
    </tableColumn>
    <tableColumn id="12" xr3:uid="{00000000-0010-0000-0000-00000C000000}" name="Notes/Intent" dataDxfId="1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35"/>
  <sheetViews>
    <sheetView tabSelected="1" zoomScale="70" zoomScaleNormal="70" workbookViewId="0">
      <pane ySplit="8" topLeftCell="A9" activePane="bottomLeft" state="frozen"/>
      <selection pane="bottomLeft" activeCell="D22" sqref="D22"/>
    </sheetView>
  </sheetViews>
  <sheetFormatPr defaultRowHeight="14.4" x14ac:dyDescent="0.3"/>
  <cols>
    <col min="1" max="1" width="21.44140625" customWidth="1"/>
    <col min="2" max="2" width="27.5546875" customWidth="1"/>
    <col min="3" max="3" width="38.21875" customWidth="1"/>
    <col min="4" max="4" width="52" style="14" customWidth="1"/>
    <col min="5" max="6" width="50.21875" style="14" customWidth="1"/>
    <col min="7" max="7" width="34.44140625" customWidth="1"/>
    <col min="8" max="8" width="26.77734375" style="8" customWidth="1"/>
    <col min="9" max="9" width="21.5546875" style="8" bestFit="1" customWidth="1"/>
    <col min="10" max="10" width="26.21875" style="8" bestFit="1" customWidth="1"/>
    <col min="11" max="11" width="19.6640625" style="8" bestFit="1" customWidth="1"/>
    <col min="12" max="12" width="19.44140625" style="8" bestFit="1" customWidth="1"/>
    <col min="13" max="13" width="21.88671875" style="8" bestFit="1" customWidth="1"/>
    <col min="14" max="14" width="25" style="8" bestFit="1" customWidth="1"/>
    <col min="15" max="15" width="25.6640625" style="8" bestFit="1" customWidth="1"/>
    <col min="16" max="16" width="28.44140625" style="8" bestFit="1" customWidth="1"/>
    <col min="17" max="17" width="27.6640625" style="8" bestFit="1" customWidth="1"/>
    <col min="18" max="18" width="22.33203125" style="8" bestFit="1" customWidth="1"/>
    <col min="19" max="19" width="16.88671875" style="8" bestFit="1" customWidth="1"/>
    <col min="20" max="20" width="10.6640625" style="8" bestFit="1" customWidth="1"/>
    <col min="21" max="21" width="26.6640625" style="8" bestFit="1" customWidth="1"/>
    <col min="22" max="22" width="27.6640625" style="8" bestFit="1" customWidth="1"/>
    <col min="23" max="23" width="18.88671875" style="8" bestFit="1" customWidth="1"/>
    <col min="24" max="24" width="20" style="8" bestFit="1" customWidth="1"/>
    <col min="25" max="25" width="14.44140625" style="8" bestFit="1" customWidth="1"/>
    <col min="26" max="26" width="19.44140625" style="8" bestFit="1" customWidth="1"/>
    <col min="27" max="27" width="12.77734375" style="8" bestFit="1" customWidth="1"/>
    <col min="28" max="28" width="30.44140625" style="8" bestFit="1" customWidth="1"/>
    <col min="29" max="29" width="24.88671875" style="8" bestFit="1" customWidth="1"/>
    <col min="30" max="30" width="20.44140625" style="8" bestFit="1" customWidth="1"/>
    <col min="31" max="31" width="16.109375" style="8" bestFit="1" customWidth="1"/>
    <col min="32" max="32" width="21.5546875" style="8" bestFit="1" customWidth="1"/>
    <col min="33" max="33" width="25.77734375" bestFit="1" customWidth="1"/>
    <col min="34" max="34" width="16.88671875" bestFit="1" customWidth="1"/>
    <col min="35" max="35" width="24.109375" bestFit="1" customWidth="1"/>
    <col min="36" max="36" width="26" bestFit="1" customWidth="1"/>
    <col min="37" max="37" width="22.21875" bestFit="1" customWidth="1"/>
    <col min="38" max="38" width="28" bestFit="1" customWidth="1"/>
    <col min="39" max="39" width="22.21875" bestFit="1" customWidth="1"/>
    <col min="40" max="40" width="16.77734375" bestFit="1" customWidth="1"/>
    <col min="41" max="41" width="14.33203125" bestFit="1" customWidth="1"/>
    <col min="42" max="42" width="16.5546875" bestFit="1" customWidth="1"/>
    <col min="43" max="43" width="15.5546875" bestFit="1" customWidth="1"/>
    <col min="44" max="44" width="21.21875" bestFit="1" customWidth="1"/>
    <col min="45" max="45" width="19.33203125" bestFit="1" customWidth="1"/>
    <col min="46" max="46" width="20.21875" bestFit="1" customWidth="1"/>
    <col min="47" max="47" width="18.5546875" bestFit="1" customWidth="1"/>
    <col min="48" max="48" width="19.6640625" bestFit="1" customWidth="1"/>
    <col min="49" max="49" width="29.33203125" bestFit="1" customWidth="1"/>
    <col min="50" max="50" width="12.44140625" bestFit="1" customWidth="1"/>
    <col min="51" max="51" width="22.6640625" bestFit="1" customWidth="1"/>
    <col min="52" max="52" width="15.77734375" bestFit="1" customWidth="1"/>
    <col min="53" max="53" width="28.21875" bestFit="1" customWidth="1"/>
    <col min="54" max="54" width="21.5546875" bestFit="1" customWidth="1"/>
    <col min="55" max="55" width="26.33203125" bestFit="1" customWidth="1"/>
    <col min="56" max="56" width="19.5546875" bestFit="1" customWidth="1"/>
    <col min="57" max="57" width="11" bestFit="1" customWidth="1"/>
  </cols>
  <sheetData>
    <row r="1" spans="1:8" ht="28.05" customHeight="1" thickBot="1" x14ac:dyDescent="0.35">
      <c r="A1" s="35" t="s">
        <v>40</v>
      </c>
      <c r="B1" s="36"/>
      <c r="C1" s="37"/>
      <c r="D1" s="37"/>
      <c r="E1" s="37"/>
      <c r="F1" s="37"/>
      <c r="G1" s="37"/>
    </row>
    <row r="2" spans="1:8" ht="15" thickBot="1" x14ac:dyDescent="0.35">
      <c r="A2" s="17" t="s">
        <v>42</v>
      </c>
      <c r="B2" s="19" t="s">
        <v>115</v>
      </c>
      <c r="C2" s="8"/>
      <c r="D2" s="38"/>
      <c r="E2" s="39"/>
      <c r="F2" s="39"/>
      <c r="G2" s="39"/>
    </row>
    <row r="3" spans="1:8" ht="15" thickBot="1" x14ac:dyDescent="0.35">
      <c r="A3" s="16" t="s">
        <v>34</v>
      </c>
      <c r="B3" s="18" t="s">
        <v>35</v>
      </c>
      <c r="D3" s="15"/>
      <c r="E3"/>
      <c r="F3"/>
    </row>
    <row r="4" spans="1:8" ht="14.4" customHeight="1" thickBot="1" x14ac:dyDescent="0.35">
      <c r="A4" s="17" t="s">
        <v>33</v>
      </c>
      <c r="B4" s="21" t="s">
        <v>36</v>
      </c>
      <c r="C4" s="8"/>
      <c r="D4" s="38"/>
      <c r="E4" s="39"/>
      <c r="F4" s="39"/>
      <c r="G4" s="39"/>
    </row>
    <row r="5" spans="1:8" ht="14.4" customHeight="1" thickBot="1" x14ac:dyDescent="0.35">
      <c r="A5" s="17" t="s">
        <v>37</v>
      </c>
      <c r="B5" s="20">
        <v>46083.684884259259</v>
      </c>
      <c r="C5" s="8"/>
      <c r="D5" s="15"/>
      <c r="E5"/>
      <c r="F5"/>
    </row>
    <row r="6" spans="1:8" ht="15" thickBot="1" x14ac:dyDescent="0.35">
      <c r="A6" s="8"/>
      <c r="B6" s="8"/>
      <c r="C6" s="8"/>
      <c r="D6" s="13"/>
      <c r="E6" s="13"/>
      <c r="F6" s="13"/>
      <c r="G6" s="8"/>
    </row>
    <row r="7" spans="1:8" ht="21" customHeight="1" thickBot="1" x14ac:dyDescent="0.35">
      <c r="A7" s="40" t="s">
        <v>41</v>
      </c>
      <c r="B7" s="39"/>
      <c r="C7" s="39"/>
      <c r="D7" s="44" t="str">
        <f>'Logic and Calculation'!B5</f>
        <v xml:space="preserve">Compliant </v>
      </c>
      <c r="E7" s="45"/>
      <c r="F7" s="45"/>
      <c r="G7" s="45"/>
    </row>
    <row r="8" spans="1:8" ht="18" customHeight="1" x14ac:dyDescent="0.3">
      <c r="A8" s="40" t="s">
        <v>0</v>
      </c>
      <c r="B8" s="39"/>
      <c r="C8" s="39"/>
      <c r="D8" s="42"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3"/>
      <c r="F8" s="43"/>
      <c r="G8" s="43"/>
    </row>
    <row r="9" spans="1:8" ht="18" customHeight="1" x14ac:dyDescent="0.3">
      <c r="A9" s="8"/>
      <c r="B9" s="8"/>
      <c r="C9" s="8"/>
      <c r="D9" s="13"/>
      <c r="E9" s="13"/>
      <c r="F9" s="13"/>
      <c r="G9" s="8"/>
    </row>
    <row r="10" spans="1:8" x14ac:dyDescent="0.3">
      <c r="A10" s="41" t="s">
        <v>1</v>
      </c>
      <c r="B10" s="39"/>
      <c r="C10" s="39"/>
      <c r="D10" s="39"/>
      <c r="E10" s="39"/>
      <c r="F10" s="39"/>
      <c r="G10" s="39"/>
    </row>
    <row r="11" spans="1:8" ht="19.95" customHeight="1" x14ac:dyDescent="0.3">
      <c r="A11" s="1" t="s">
        <v>2</v>
      </c>
      <c r="B11" s="1" t="s">
        <v>3</v>
      </c>
      <c r="C11" s="1" t="s">
        <v>4</v>
      </c>
      <c r="D11" s="1" t="s">
        <v>5</v>
      </c>
      <c r="E11" s="1" t="s">
        <v>6</v>
      </c>
      <c r="F11" s="1" t="s">
        <v>116</v>
      </c>
      <c r="G11" s="1" t="s">
        <v>7</v>
      </c>
      <c r="H11" s="6"/>
    </row>
    <row r="12" spans="1:8" ht="44.4" customHeight="1" x14ac:dyDescent="0.3">
      <c r="A12" s="9" t="str" cm="1">
        <f t="array" ref="A12">_xlfn.LET(
  _xlpm.id, 'Account Mastery_Reference'!B2:B12,
  _xlpm.name, 'Account Mastery_Reference'!C2:C12,
  _xlpm.st, 'Account Mastery_Reference'!D2:D12,
  _xlpm.saw, 'Account Mastery_Reference'!H2:H12,
  _xlpm.matter, 'Account Mastery_Reference'!I2:I12,
  _xlpm.impact, 'Account Mastery_Reference'!L2:L12,
  _xlpm.data, _xlfn.HSTACK(_xlpm.id, _xlpm.name, _xlpm.st, _xlpm.saw, _xlpm.matter, _xlpm.impact),
  _xlfn._xlws.FILTER(_xlpm.data, _xlpm.st&lt;&gt;"OK", "No findings — all controls OK")
)</f>
        <v>No findings — all controls OK</v>
      </c>
      <c r="B12" s="9"/>
      <c r="C12" s="10"/>
      <c r="D12" s="11"/>
      <c r="E12" s="11"/>
      <c r="F12" s="11"/>
      <c r="G12" s="9"/>
    </row>
    <row r="13" spans="1:8" ht="44.4" customHeight="1" x14ac:dyDescent="0.3">
      <c r="A13" s="9"/>
      <c r="B13" s="9"/>
      <c r="C13" s="7"/>
      <c r="D13" s="11"/>
      <c r="E13" s="11"/>
      <c r="F13" s="11"/>
      <c r="G13" s="9"/>
    </row>
    <row r="14" spans="1:8" ht="44.4" customHeight="1" x14ac:dyDescent="0.3">
      <c r="A14" s="9"/>
      <c r="B14" s="9"/>
      <c r="C14" s="7"/>
      <c r="D14" s="11"/>
      <c r="E14" s="11"/>
      <c r="F14" s="11"/>
      <c r="G14" s="9"/>
    </row>
    <row r="15" spans="1:8" ht="44.4" customHeight="1" x14ac:dyDescent="0.3">
      <c r="A15" s="9"/>
      <c r="B15" s="9"/>
      <c r="C15" s="7"/>
      <c r="D15" s="11"/>
      <c r="E15" s="11"/>
      <c r="F15" s="11"/>
      <c r="G15" s="9"/>
    </row>
    <row r="16" spans="1:8" ht="44.4" customHeight="1" x14ac:dyDescent="0.3">
      <c r="A16" s="9"/>
      <c r="B16" s="9"/>
      <c r="C16" s="7"/>
      <c r="D16" s="11"/>
      <c r="E16" s="11"/>
      <c r="F16" s="11"/>
      <c r="G16" s="9"/>
    </row>
    <row r="17" spans="1:7" ht="44.4" customHeight="1" x14ac:dyDescent="0.3">
      <c r="A17" s="9"/>
      <c r="B17" s="9"/>
      <c r="C17" s="7"/>
      <c r="D17" s="11"/>
      <c r="E17" s="11"/>
      <c r="F17" s="11"/>
      <c r="G17" s="9"/>
    </row>
    <row r="18" spans="1:7" ht="44.4" customHeight="1" x14ac:dyDescent="0.3">
      <c r="A18" s="9"/>
      <c r="B18" s="9"/>
      <c r="C18" s="7"/>
      <c r="D18" s="11"/>
      <c r="E18" s="11"/>
      <c r="F18" s="11"/>
      <c r="G18" s="9"/>
    </row>
    <row r="19" spans="1:7" ht="44.4" customHeight="1" x14ac:dyDescent="0.3">
      <c r="A19" s="9"/>
      <c r="B19" s="9"/>
      <c r="C19" s="7"/>
      <c r="D19" s="11"/>
      <c r="E19" s="11"/>
      <c r="F19" s="11"/>
      <c r="G19" s="9"/>
    </row>
    <row r="20" spans="1:7" ht="44.4" customHeight="1" x14ac:dyDescent="0.3">
      <c r="A20" s="9"/>
      <c r="B20" s="9"/>
      <c r="C20" s="7"/>
      <c r="D20" s="11"/>
      <c r="E20" s="11"/>
      <c r="F20" s="11"/>
      <c r="G20" s="9"/>
    </row>
    <row r="21" spans="1:7" ht="44.4" customHeight="1" x14ac:dyDescent="0.3">
      <c r="A21" s="9"/>
      <c r="B21" s="9"/>
      <c r="C21" s="7"/>
      <c r="D21" s="11"/>
      <c r="E21" s="11"/>
      <c r="F21" s="11"/>
      <c r="G21" s="9"/>
    </row>
    <row r="22" spans="1:7" ht="44.4" customHeight="1" x14ac:dyDescent="0.3">
      <c r="A22" s="9"/>
      <c r="B22" s="9"/>
      <c r="C22" s="7"/>
      <c r="D22" s="11"/>
      <c r="E22" s="11"/>
      <c r="F22" s="11"/>
      <c r="G22" s="9"/>
    </row>
    <row r="23" spans="1:7" ht="44.4" customHeight="1" x14ac:dyDescent="0.3">
      <c r="A23" s="9"/>
      <c r="B23" s="9"/>
      <c r="C23" s="7"/>
      <c r="D23" s="11"/>
      <c r="E23" s="11"/>
      <c r="F23" s="11"/>
      <c r="G23" s="9"/>
    </row>
    <row r="24" spans="1:7" ht="44.4" customHeight="1" x14ac:dyDescent="0.3">
      <c r="A24" s="9"/>
      <c r="B24" s="9"/>
      <c r="C24" s="7"/>
      <c r="D24" s="11"/>
      <c r="E24" s="11"/>
      <c r="F24" s="11"/>
      <c r="G24" s="9"/>
    </row>
    <row r="25" spans="1:7" ht="44.4" customHeight="1" x14ac:dyDescent="0.3">
      <c r="A25" s="9"/>
      <c r="B25" s="9"/>
      <c r="C25" s="7"/>
      <c r="D25" s="11"/>
      <c r="E25" s="11"/>
      <c r="F25" s="11"/>
      <c r="G25" s="9"/>
    </row>
    <row r="26" spans="1:7" ht="44.4" customHeight="1" x14ac:dyDescent="0.3">
      <c r="A26" s="8"/>
      <c r="B26" s="8"/>
      <c r="C26" s="7"/>
      <c r="D26" s="13"/>
      <c r="E26" s="13"/>
      <c r="F26" s="13"/>
      <c r="G26" s="8"/>
    </row>
    <row r="27" spans="1:7" ht="44.4" customHeight="1" x14ac:dyDescent="0.3">
      <c r="A27" s="8"/>
      <c r="B27" s="8"/>
      <c r="C27" s="7"/>
      <c r="D27" s="13"/>
      <c r="E27" s="13"/>
      <c r="F27" s="13"/>
      <c r="G27" s="8"/>
    </row>
    <row r="28" spans="1:7" ht="44.4" customHeight="1" x14ac:dyDescent="0.3">
      <c r="A28" s="8"/>
      <c r="B28" s="8"/>
      <c r="C28" s="7"/>
      <c r="D28" s="13"/>
      <c r="E28" s="13"/>
      <c r="F28" s="13"/>
      <c r="G28" s="8"/>
    </row>
    <row r="29" spans="1:7" ht="44.4" customHeight="1" x14ac:dyDescent="0.3">
      <c r="A29" s="8"/>
      <c r="B29" s="8"/>
      <c r="C29" s="7"/>
      <c r="D29" s="13"/>
      <c r="E29" s="13"/>
      <c r="F29" s="13"/>
      <c r="G29" s="8"/>
    </row>
    <row r="30" spans="1:7" ht="44.4" customHeight="1" x14ac:dyDescent="0.3">
      <c r="A30" s="8"/>
      <c r="B30" s="8"/>
      <c r="C30" s="7"/>
      <c r="D30" s="13"/>
      <c r="E30" s="13"/>
      <c r="F30" s="13"/>
      <c r="G30" s="8"/>
    </row>
    <row r="31" spans="1:7" ht="44.4" customHeight="1" x14ac:dyDescent="0.3">
      <c r="C31" s="7"/>
    </row>
    <row r="32" spans="1:7" ht="44.4" customHeight="1" x14ac:dyDescent="0.3">
      <c r="C32" s="7"/>
    </row>
    <row r="33" spans="3:3" ht="44.4" customHeight="1" x14ac:dyDescent="0.3">
      <c r="C33" s="7"/>
    </row>
    <row r="34" spans="3:3" ht="44.4" customHeight="1" x14ac:dyDescent="0.3">
      <c r="C34" s="7"/>
    </row>
    <row r="35" spans="3:3" ht="44.4" customHeight="1" x14ac:dyDescent="0.3">
      <c r="C35" s="7"/>
    </row>
  </sheetData>
  <mergeCells count="8">
    <mergeCell ref="A1:G1"/>
    <mergeCell ref="D4:G4"/>
    <mergeCell ref="A7:C7"/>
    <mergeCell ref="A10:G10"/>
    <mergeCell ref="D8:G8"/>
    <mergeCell ref="A8:C8"/>
    <mergeCell ref="D2:G2"/>
    <mergeCell ref="D7:G7"/>
  </mergeCells>
  <conditionalFormatting sqref="C12:C35">
    <cfRule type="cellIs" dxfId="9" priority="4" stopIfTrue="1" operator="equal">
      <formula>"OK"</formula>
    </cfRule>
    <cfRule type="cellIs" dxfId="8" priority="5" stopIfTrue="1" operator="equal">
      <formula>"PARTIAL"</formula>
    </cfRule>
    <cfRule type="cellIs" dxfId="7" priority="6" stopIfTrue="1" operator="equal">
      <formula>"FLAG"</formula>
    </cfRule>
  </conditionalFormatting>
  <conditionalFormatting sqref="D7:G7">
    <cfRule type="containsText" dxfId="6" priority="1" operator="containsText" text="Compliant ">
      <formula>NOT(ISERROR(SEARCH("Compliant ",D7)))</formula>
    </cfRule>
    <cfRule type="containsText" dxfId="5" priority="2" operator="containsText" text="Needs Attention">
      <formula>NOT(ISERROR(SEARCH("Needs Attention",D7)))</formula>
    </cfRule>
    <cfRule type="containsText" dxfId="4"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2"/>
  <sheetViews>
    <sheetView zoomScale="70" zoomScaleNormal="70" workbookViewId="0">
      <pane ySplit="1" topLeftCell="A2" activePane="bottomLeft" state="frozen"/>
      <selection pane="bottomLeft" activeCell="J17" sqref="J17"/>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3" customWidth="1"/>
    <col min="6" max="6" width="48.5546875" style="22" customWidth="1"/>
    <col min="7" max="7" width="74.88671875" style="22" customWidth="1"/>
    <col min="8" max="8" width="76.44140625" style="22" customWidth="1"/>
    <col min="9" max="10" width="59.88671875" style="22" customWidth="1"/>
    <col min="11" max="11" width="48" style="5" customWidth="1"/>
    <col min="12" max="12" width="10" customWidth="1"/>
    <col min="13" max="13" width="11.6640625" customWidth="1"/>
    <col min="14" max="14" width="22" customWidth="1"/>
    <col min="15" max="15" width="54.33203125" style="14" customWidth="1"/>
  </cols>
  <sheetData>
    <row r="1" spans="1:15" ht="28.2" customHeight="1" x14ac:dyDescent="0.3">
      <c r="A1" s="26" t="s">
        <v>8</v>
      </c>
      <c r="B1" s="27" t="s">
        <v>2</v>
      </c>
      <c r="C1" s="27" t="s">
        <v>3</v>
      </c>
      <c r="D1" s="27" t="s">
        <v>9</v>
      </c>
      <c r="E1" s="28" t="s">
        <v>10</v>
      </c>
      <c r="F1" s="27" t="s">
        <v>11</v>
      </c>
      <c r="G1" s="27" t="s">
        <v>12</v>
      </c>
      <c r="H1" s="27" t="s">
        <v>5</v>
      </c>
      <c r="I1" s="27" t="s">
        <v>6</v>
      </c>
      <c r="J1" s="27" t="s">
        <v>116</v>
      </c>
      <c r="K1" s="27" t="s">
        <v>13</v>
      </c>
      <c r="L1" s="27" t="s">
        <v>7</v>
      </c>
      <c r="M1" s="27" t="s">
        <v>14</v>
      </c>
      <c r="N1" s="27" t="s">
        <v>15</v>
      </c>
      <c r="O1" s="29" t="s">
        <v>16</v>
      </c>
    </row>
    <row r="2" spans="1:15" ht="46.8" customHeight="1" x14ac:dyDescent="0.3">
      <c r="A2" s="30" t="s">
        <v>50</v>
      </c>
      <c r="B2" s="3" t="s">
        <v>86</v>
      </c>
      <c r="C2" s="31" t="s">
        <v>51</v>
      </c>
      <c r="D2" s="3" t="s">
        <v>17</v>
      </c>
      <c r="E2" s="31" t="s">
        <v>54</v>
      </c>
      <c r="F2" s="31" t="s">
        <v>55</v>
      </c>
      <c r="G2" s="31" t="s">
        <v>56</v>
      </c>
      <c r="H2" s="31"/>
      <c r="I2" s="31"/>
      <c r="J2" s="31"/>
      <c r="K2" s="31" t="s">
        <v>57</v>
      </c>
      <c r="L2" s="3" t="str">
        <f>VLOOKUP(Table1[[#This Row],[Importance]],'Logic and Calculation'!$H$3:$J$12,3,FALSE)</f>
        <v>Critical</v>
      </c>
      <c r="M2" s="32">
        <v>10</v>
      </c>
      <c r="N2" s="3">
        <f>VLOOKUP(Table1[[#This Row],[Importance]],'Logic and Calculation'!$H$3:$J$12,2,FALSE)</f>
        <v>-18</v>
      </c>
      <c r="O2" s="33"/>
    </row>
    <row r="3" spans="1:15" ht="46.8" customHeight="1" x14ac:dyDescent="0.3">
      <c r="A3" s="30" t="s">
        <v>50</v>
      </c>
      <c r="B3" s="3" t="s">
        <v>87</v>
      </c>
      <c r="C3" s="31" t="s">
        <v>88</v>
      </c>
      <c r="D3" s="3" t="s">
        <v>17</v>
      </c>
      <c r="E3" s="31" t="s">
        <v>89</v>
      </c>
      <c r="F3" s="31" t="s">
        <v>90</v>
      </c>
      <c r="G3" s="31" t="s">
        <v>91</v>
      </c>
      <c r="H3" s="31"/>
      <c r="I3" s="31"/>
      <c r="J3" s="31"/>
      <c r="K3" s="31" t="s">
        <v>112</v>
      </c>
      <c r="L3" s="3" t="str">
        <f>VLOOKUP(Table1[[#This Row],[Importance]],'Logic and Calculation'!$H$3:$J$12,3,FALSE)</f>
        <v>High</v>
      </c>
      <c r="M3" s="32">
        <v>8</v>
      </c>
      <c r="N3" s="3">
        <f>VLOOKUP(Table1[[#This Row],[Importance]],'Logic and Calculation'!$H$3:$J$12,2,FALSE)</f>
        <v>-13</v>
      </c>
      <c r="O3" s="33"/>
    </row>
    <row r="4" spans="1:15" ht="46.8" customHeight="1" x14ac:dyDescent="0.3">
      <c r="A4" s="30" t="s">
        <v>50</v>
      </c>
      <c r="B4" s="3" t="s">
        <v>92</v>
      </c>
      <c r="C4" s="31" t="s">
        <v>64</v>
      </c>
      <c r="D4" s="3" t="s">
        <v>17</v>
      </c>
      <c r="E4" s="31" t="s">
        <v>85</v>
      </c>
      <c r="F4" s="31" t="s">
        <v>93</v>
      </c>
      <c r="G4" s="31" t="s">
        <v>94</v>
      </c>
      <c r="H4" s="31"/>
      <c r="I4" s="31"/>
      <c r="J4" s="31"/>
      <c r="K4" s="31" t="s">
        <v>72</v>
      </c>
      <c r="L4" s="3" t="str">
        <f>VLOOKUP(Table1[[#This Row],[Importance]],'Logic and Calculation'!$H$3:$J$12,3,FALSE)</f>
        <v>High</v>
      </c>
      <c r="M4" s="32">
        <v>9</v>
      </c>
      <c r="N4" s="3">
        <f>VLOOKUP(Table1[[#This Row],[Importance]],'Logic and Calculation'!$H$3:$J$12,2,FALSE)</f>
        <v>-15</v>
      </c>
      <c r="O4" s="33"/>
    </row>
    <row r="5" spans="1:15" ht="46.8" customHeight="1" x14ac:dyDescent="0.3">
      <c r="A5" s="30" t="s">
        <v>50</v>
      </c>
      <c r="B5" s="3" t="s">
        <v>95</v>
      </c>
      <c r="C5" s="31" t="s">
        <v>52</v>
      </c>
      <c r="D5" s="3" t="s">
        <v>17</v>
      </c>
      <c r="E5" s="31" t="s">
        <v>58</v>
      </c>
      <c r="F5" s="31" t="s">
        <v>96</v>
      </c>
      <c r="G5" s="31" t="s">
        <v>97</v>
      </c>
      <c r="H5" s="31"/>
      <c r="I5" s="31"/>
      <c r="J5" s="31"/>
      <c r="K5" s="31" t="s">
        <v>57</v>
      </c>
      <c r="L5" s="3" t="str">
        <f>VLOOKUP(Table1[[#This Row],[Importance]],'Logic and Calculation'!$H$3:$J$12,3,FALSE)</f>
        <v>Medium</v>
      </c>
      <c r="M5" s="32">
        <v>6</v>
      </c>
      <c r="N5" s="3">
        <f>VLOOKUP(Table1[[#This Row],[Importance]],'Logic and Calculation'!$H$3:$J$12,2,FALSE)</f>
        <v>-9</v>
      </c>
      <c r="O5" s="33"/>
    </row>
    <row r="6" spans="1:15" ht="46.8" customHeight="1" x14ac:dyDescent="0.3">
      <c r="A6" s="30" t="s">
        <v>50</v>
      </c>
      <c r="B6" s="3" t="s">
        <v>113</v>
      </c>
      <c r="C6" s="31" t="s">
        <v>65</v>
      </c>
      <c r="D6" s="3" t="s">
        <v>17</v>
      </c>
      <c r="E6" s="31" t="s">
        <v>81</v>
      </c>
      <c r="F6" s="31" t="s">
        <v>82</v>
      </c>
      <c r="G6" s="31" t="s">
        <v>83</v>
      </c>
      <c r="H6" s="31"/>
      <c r="I6" s="31"/>
      <c r="J6" s="31"/>
      <c r="K6" s="31" t="s">
        <v>84</v>
      </c>
      <c r="L6" s="3" t="str">
        <f>VLOOKUP(Table1[[#This Row],[Importance]],'Logic and Calculation'!$H$3:$J$12,3,FALSE)</f>
        <v>High</v>
      </c>
      <c r="M6" s="32">
        <v>8</v>
      </c>
      <c r="N6" s="3">
        <f>VLOOKUP(Table1[[#This Row],[Importance]],'Logic and Calculation'!$H$3:$J$12,2,FALSE)</f>
        <v>-13</v>
      </c>
      <c r="O6" s="33"/>
    </row>
    <row r="7" spans="1:15" ht="46.8" customHeight="1" x14ac:dyDescent="0.3">
      <c r="A7" s="30" t="s">
        <v>50</v>
      </c>
      <c r="B7" s="3" t="s">
        <v>114</v>
      </c>
      <c r="C7" s="31" t="s">
        <v>53</v>
      </c>
      <c r="D7" s="3" t="s">
        <v>17</v>
      </c>
      <c r="E7" s="31" t="s">
        <v>59</v>
      </c>
      <c r="F7" s="31" t="s">
        <v>60</v>
      </c>
      <c r="G7" s="31" t="s">
        <v>61</v>
      </c>
      <c r="H7" s="31"/>
      <c r="I7" s="31"/>
      <c r="J7" s="31"/>
      <c r="K7" s="31" t="s">
        <v>62</v>
      </c>
      <c r="L7" s="3" t="str">
        <f>VLOOKUP(Table1[[#This Row],[Importance]],'Logic and Calculation'!$H$3:$J$12,3,FALSE)</f>
        <v>High</v>
      </c>
      <c r="M7" s="32">
        <v>8</v>
      </c>
      <c r="N7" s="3">
        <f>VLOOKUP(Table1[[#This Row],[Importance]],'Logic and Calculation'!$H$3:$J$12,2,FALSE)</f>
        <v>-13</v>
      </c>
      <c r="O7" s="33"/>
    </row>
    <row r="8" spans="1:15" ht="46.8" customHeight="1" x14ac:dyDescent="0.3">
      <c r="A8" s="30" t="s">
        <v>50</v>
      </c>
      <c r="B8" s="3" t="s">
        <v>98</v>
      </c>
      <c r="C8" s="31" t="s">
        <v>67</v>
      </c>
      <c r="D8" s="3" t="s">
        <v>17</v>
      </c>
      <c r="E8" s="31" t="s">
        <v>73</v>
      </c>
      <c r="F8" s="31" t="s">
        <v>74</v>
      </c>
      <c r="G8" s="31" t="s">
        <v>75</v>
      </c>
      <c r="H8" s="31"/>
      <c r="I8" s="31"/>
      <c r="J8" s="31"/>
      <c r="K8" s="31" t="s">
        <v>76</v>
      </c>
      <c r="L8" s="3" t="str">
        <f>VLOOKUP(Table1[[#This Row],[Importance]],'Logic and Calculation'!$H$3:$J$12,3,FALSE)</f>
        <v>High</v>
      </c>
      <c r="M8" s="32">
        <v>9</v>
      </c>
      <c r="N8" s="3">
        <f>VLOOKUP(Table1[[#This Row],[Importance]],'Logic and Calculation'!$H$3:$J$12,2,FALSE)</f>
        <v>-15</v>
      </c>
      <c r="O8" s="33"/>
    </row>
    <row r="9" spans="1:15" ht="46.8" customHeight="1" x14ac:dyDescent="0.3">
      <c r="A9" s="34" t="s">
        <v>50</v>
      </c>
      <c r="B9" s="3" t="s">
        <v>99</v>
      </c>
      <c r="C9" s="25" t="s">
        <v>68</v>
      </c>
      <c r="D9" s="24" t="s">
        <v>17</v>
      </c>
      <c r="E9" s="25" t="s">
        <v>77</v>
      </c>
      <c r="F9" s="24" t="s">
        <v>78</v>
      </c>
      <c r="G9" s="24" t="s">
        <v>79</v>
      </c>
      <c r="H9" s="24"/>
      <c r="I9" s="24"/>
      <c r="J9" s="24"/>
      <c r="K9" s="24" t="s">
        <v>80</v>
      </c>
      <c r="L9" s="3" t="str">
        <f>VLOOKUP(Table1[[#This Row],[Importance]],'Logic and Calculation'!$H$3:$J$12,3,FALSE)</f>
        <v>Medium</v>
      </c>
      <c r="M9" s="32">
        <v>6</v>
      </c>
      <c r="N9" s="3">
        <f>VLOOKUP(Table1[[#This Row],[Importance]],'Logic and Calculation'!$H$3:$J$12,2,FALSE)</f>
        <v>-9</v>
      </c>
      <c r="O9" s="33"/>
    </row>
    <row r="10" spans="1:15" ht="46.8" customHeight="1" x14ac:dyDescent="0.3">
      <c r="A10" s="30" t="s">
        <v>50</v>
      </c>
      <c r="B10" s="3" t="s">
        <v>100</v>
      </c>
      <c r="C10" s="31" t="s">
        <v>66</v>
      </c>
      <c r="D10" s="24" t="s">
        <v>17</v>
      </c>
      <c r="E10" s="25" t="s">
        <v>69</v>
      </c>
      <c r="F10" s="24" t="s">
        <v>70</v>
      </c>
      <c r="G10" s="24" t="s">
        <v>71</v>
      </c>
      <c r="H10" s="24"/>
      <c r="I10" s="24"/>
      <c r="J10" s="24"/>
      <c r="K10" s="24" t="s">
        <v>72</v>
      </c>
      <c r="L10" s="3" t="str">
        <f>VLOOKUP(Table1[[#This Row],[Importance]],'Logic and Calculation'!$H$3:$J$12,3,FALSE)</f>
        <v>Medium</v>
      </c>
      <c r="M10" s="32">
        <v>5</v>
      </c>
      <c r="N10" s="3">
        <f>VLOOKUP(Table1[[#This Row],[Importance]],'Logic and Calculation'!$H$3:$J$12,2,FALSE)</f>
        <v>-7</v>
      </c>
      <c r="O10" s="33"/>
    </row>
    <row r="11" spans="1:15" ht="46.8" customHeight="1" x14ac:dyDescent="0.3">
      <c r="A11" s="34" t="s">
        <v>103</v>
      </c>
      <c r="B11" s="3" t="s">
        <v>101</v>
      </c>
      <c r="C11" s="25" t="s">
        <v>104</v>
      </c>
      <c r="D11" s="24" t="s">
        <v>17</v>
      </c>
      <c r="E11" s="25" t="s">
        <v>105</v>
      </c>
      <c r="F11" s="24" t="s">
        <v>106</v>
      </c>
      <c r="G11" s="24" t="s">
        <v>107</v>
      </c>
      <c r="H11" s="24"/>
      <c r="I11" s="24"/>
      <c r="J11" s="24"/>
      <c r="K11" s="24" t="s">
        <v>63</v>
      </c>
      <c r="L11" s="3" t="str">
        <f>VLOOKUP(Table1[[#This Row],[Importance]],'Logic and Calculation'!$H$3:$J$12,3,FALSE)</f>
        <v>High</v>
      </c>
      <c r="M11" s="32">
        <v>9</v>
      </c>
      <c r="N11" s="3">
        <f>VLOOKUP(Table1[[#This Row],[Importance]],'Logic and Calculation'!$H$3:$J$12,2,FALSE)</f>
        <v>-15</v>
      </c>
      <c r="O11" s="33"/>
    </row>
    <row r="12" spans="1:15" ht="46.8" customHeight="1" x14ac:dyDescent="0.3">
      <c r="A12" s="34" t="s">
        <v>103</v>
      </c>
      <c r="B12" s="3" t="s">
        <v>102</v>
      </c>
      <c r="C12" s="25" t="s">
        <v>108</v>
      </c>
      <c r="D12" s="24" t="s">
        <v>17</v>
      </c>
      <c r="E12" s="25" t="s">
        <v>109</v>
      </c>
      <c r="F12" s="24" t="s">
        <v>110</v>
      </c>
      <c r="G12" s="24" t="s">
        <v>111</v>
      </c>
      <c r="H12" s="24"/>
      <c r="I12" s="24"/>
      <c r="J12" s="24"/>
      <c r="K12" s="24" t="s">
        <v>63</v>
      </c>
      <c r="L12" s="3" t="str">
        <f>VLOOKUP(Table1[[#This Row],[Importance]],'Logic and Calculation'!$H$3:$J$12,3,FALSE)</f>
        <v>Critical</v>
      </c>
      <c r="M12" s="32">
        <v>10</v>
      </c>
      <c r="N12" s="3">
        <f>VLOOKUP(Table1[[#This Row],[Importance]],'Logic and Calculation'!$H$3:$J$12,2,FALSE)</f>
        <v>-18</v>
      </c>
      <c r="O12" s="33"/>
    </row>
  </sheetData>
  <phoneticPr fontId="14" type="noConversion"/>
  <conditionalFormatting sqref="D2:D12">
    <cfRule type="cellIs" dxfId="3" priority="4" stopIfTrue="1" operator="equal">
      <formula>"OK"</formula>
    </cfRule>
    <cfRule type="cellIs" dxfId="2" priority="5" stopIfTrue="1" operator="equal">
      <formula>"PARTIAL"</formula>
    </cfRule>
    <cfRule type="cellIs" dxfId="1" priority="6" stopIfTrue="1" operator="equal">
      <formula>"FLAG"</formula>
    </cfRule>
  </conditionalFormatting>
  <dataValidations count="1">
    <dataValidation type="list" allowBlank="1" sqref="D2:D12"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18"/>
  <sheetViews>
    <sheetView workbookViewId="0">
      <pane ySplit="7" topLeftCell="A8" activePane="bottomLeft" state="frozen"/>
      <selection pane="bottomLeft" activeCell="C29" sqref="C29"/>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2" t="s">
        <v>41</v>
      </c>
      <c r="M2" s="12" t="s">
        <v>24</v>
      </c>
    </row>
    <row r="3" spans="1:13" x14ac:dyDescent="0.3">
      <c r="A3" t="s">
        <v>25</v>
      </c>
      <c r="B3">
        <f>SUM(F8:F944)</f>
        <v>0</v>
      </c>
      <c r="D3" t="s">
        <v>46</v>
      </c>
      <c r="H3">
        <v>10</v>
      </c>
      <c r="I3">
        <v>-18</v>
      </c>
      <c r="J3" t="s">
        <v>26</v>
      </c>
      <c r="L3" t="s">
        <v>49</v>
      </c>
      <c r="M3" t="s">
        <v>43</v>
      </c>
    </row>
    <row r="4" spans="1:13" x14ac:dyDescent="0.3">
      <c r="A4" t="s">
        <v>27</v>
      </c>
      <c r="B4">
        <f>B2+B3</f>
        <v>100</v>
      </c>
      <c r="D4" t="s">
        <v>39</v>
      </c>
      <c r="H4">
        <v>9</v>
      </c>
      <c r="I4">
        <v>-15</v>
      </c>
      <c r="J4" t="s">
        <v>28</v>
      </c>
      <c r="L4" t="s">
        <v>38</v>
      </c>
      <c r="M4" t="s">
        <v>44</v>
      </c>
    </row>
    <row r="5" spans="1:13" x14ac:dyDescent="0.3">
      <c r="A5" t="s">
        <v>41</v>
      </c>
      <c r="B5" t="str">
        <f>IF(B4&gt;=75,"Compliant ",IF(AND(B4&lt;=74,B4&gt;=40),"Needs Attention","Not Compliant"))</f>
        <v xml:space="preserve">Compliant </v>
      </c>
      <c r="D5" t="s">
        <v>47</v>
      </c>
      <c r="H5">
        <v>8</v>
      </c>
      <c r="I5">
        <v>-13</v>
      </c>
      <c r="J5" t="s">
        <v>28</v>
      </c>
      <c r="L5" t="s">
        <v>45</v>
      </c>
      <c r="M5" t="s">
        <v>48</v>
      </c>
    </row>
    <row r="6" spans="1:13" x14ac:dyDescent="0.3">
      <c r="A6" t="s">
        <v>29</v>
      </c>
      <c r="B6" t="s">
        <v>30</v>
      </c>
      <c r="H6">
        <v>7</v>
      </c>
      <c r="I6">
        <v>-11</v>
      </c>
      <c r="J6" t="s">
        <v>18</v>
      </c>
    </row>
    <row r="7" spans="1:13" x14ac:dyDescent="0.3">
      <c r="H7">
        <v>6</v>
      </c>
      <c r="I7">
        <v>-9</v>
      </c>
      <c r="J7" t="s">
        <v>18</v>
      </c>
    </row>
    <row r="8" spans="1:13" x14ac:dyDescent="0.3">
      <c r="A8" t="str">
        <f>'Account Mastery_Reference'!B2</f>
        <v>WM-M001</v>
      </c>
      <c r="B8" t="str">
        <f>'Account Mastery_Reference'!A2</f>
        <v>Account Setup</v>
      </c>
      <c r="C8" t="str">
        <f>'Account Mastery_Reference'!C2</f>
        <v>Account Objectives Defined</v>
      </c>
      <c r="D8" t="str">
        <f>'Account Mastery_Reference'!D2</f>
        <v>OK</v>
      </c>
      <c r="E8">
        <f>'Account Mastery_Reference'!N2</f>
        <v>-18</v>
      </c>
      <c r="F8">
        <f t="shared" ref="F8" si="0">IF(D8="FLAG",E8,IF(D8="PARTIAL",E8*0.5,0))</f>
        <v>0</v>
      </c>
      <c r="H8">
        <v>5</v>
      </c>
      <c r="I8">
        <v>-7</v>
      </c>
      <c r="J8" t="s">
        <v>18</v>
      </c>
    </row>
    <row r="9" spans="1:13" x14ac:dyDescent="0.3">
      <c r="A9" t="str">
        <f>'Account Mastery_Reference'!B3</f>
        <v>WM-M002</v>
      </c>
      <c r="B9" t="str">
        <f>'Account Mastery_Reference'!A3</f>
        <v>Account Setup</v>
      </c>
      <c r="C9" t="str">
        <f>'Account Mastery_Reference'!C3</f>
        <v>SF Target Completeness (3 targets)</v>
      </c>
      <c r="D9" t="str">
        <f>'Account Mastery_Reference'!D3</f>
        <v>OK</v>
      </c>
      <c r="E9">
        <f>'Account Mastery_Reference'!N3</f>
        <v>-13</v>
      </c>
      <c r="F9">
        <f t="shared" ref="F9:F18" si="1">IF(D9="FLAG",E9,IF(D9="PARTIAL",E9*0.5,0))</f>
        <v>0</v>
      </c>
      <c r="H9">
        <v>4</v>
      </c>
      <c r="I9">
        <v>-5</v>
      </c>
      <c r="J9" t="s">
        <v>31</v>
      </c>
    </row>
    <row r="10" spans="1:13" x14ac:dyDescent="0.3">
      <c r="A10" t="str">
        <f>'Account Mastery_Reference'!B4</f>
        <v>WM-M003</v>
      </c>
      <c r="B10" t="str">
        <f>'Account Mastery_Reference'!A4</f>
        <v>Account Setup</v>
      </c>
      <c r="C10" t="str">
        <f>'Account Mastery_Reference'!C4</f>
        <v>Objective vs Near-Term Alignment</v>
      </c>
      <c r="D10" t="str">
        <f>'Account Mastery_Reference'!D4</f>
        <v>OK</v>
      </c>
      <c r="E10">
        <f>'Account Mastery_Reference'!N4</f>
        <v>-15</v>
      </c>
      <c r="F10">
        <f t="shared" si="1"/>
        <v>0</v>
      </c>
      <c r="H10">
        <v>3</v>
      </c>
      <c r="I10">
        <v>-3</v>
      </c>
      <c r="J10" t="s">
        <v>31</v>
      </c>
    </row>
    <row r="11" spans="1:13" x14ac:dyDescent="0.3">
      <c r="A11" t="str">
        <f>'Account Mastery_Reference'!B5</f>
        <v>WM-M004</v>
      </c>
      <c r="B11" t="str">
        <f>'Account Mastery_Reference'!A5</f>
        <v>Account Setup</v>
      </c>
      <c r="C11" t="str">
        <f>'Account Mastery_Reference'!C5</f>
        <v>Account Challenges Documented</v>
      </c>
      <c r="D11" t="str">
        <f>'Account Mastery_Reference'!D5</f>
        <v>OK</v>
      </c>
      <c r="E11">
        <f>'Account Mastery_Reference'!N5</f>
        <v>-9</v>
      </c>
      <c r="F11">
        <f t="shared" si="1"/>
        <v>0</v>
      </c>
      <c r="H11">
        <v>2</v>
      </c>
      <c r="I11">
        <v>-2</v>
      </c>
      <c r="J11" t="s">
        <v>32</v>
      </c>
    </row>
    <row r="12" spans="1:13" x14ac:dyDescent="0.3">
      <c r="A12" t="str">
        <f>'Account Mastery_Reference'!B6</f>
        <v>WM-M005</v>
      </c>
      <c r="B12" t="str">
        <f>'Account Mastery_Reference'!A6</f>
        <v>Account Setup</v>
      </c>
      <c r="C12" t="str">
        <f>'Account Mastery_Reference'!C6</f>
        <v>Seasonality Awareness</v>
      </c>
      <c r="D12" t="str">
        <f>'Account Mastery_Reference'!D6</f>
        <v>OK</v>
      </c>
      <c r="E12">
        <f>'Account Mastery_Reference'!N6</f>
        <v>-13</v>
      </c>
      <c r="F12">
        <f t="shared" si="1"/>
        <v>0</v>
      </c>
      <c r="H12">
        <v>1</v>
      </c>
      <c r="I12">
        <v>0</v>
      </c>
      <c r="J12" t="s">
        <v>32</v>
      </c>
    </row>
    <row r="13" spans="1:13" x14ac:dyDescent="0.3">
      <c r="A13" t="str">
        <f>'Account Mastery_Reference'!B7</f>
        <v>WM-M006</v>
      </c>
      <c r="B13" t="str">
        <f>'Account Mastery_Reference'!A7</f>
        <v>Account Setup</v>
      </c>
      <c r="C13" t="str">
        <f>'Account Mastery_Reference'!C7</f>
        <v>Client Contact Cadence</v>
      </c>
      <c r="D13" t="str">
        <f>'Account Mastery_Reference'!D7</f>
        <v>OK</v>
      </c>
      <c r="E13">
        <f>'Account Mastery_Reference'!N7</f>
        <v>-13</v>
      </c>
      <c r="F13">
        <f t="shared" si="1"/>
        <v>0</v>
      </c>
    </row>
    <row r="14" spans="1:13" x14ac:dyDescent="0.3">
      <c r="A14" t="str">
        <f>'Account Mastery_Reference'!B8</f>
        <v>WM-M007</v>
      </c>
      <c r="B14" t="str">
        <f>'Account Mastery_Reference'!A8</f>
        <v>Account Setup</v>
      </c>
      <c r="C14" t="str">
        <f>'Account Mastery_Reference'!C8</f>
        <v>Client Journey Stage Mapped</v>
      </c>
      <c r="D14" t="str">
        <f>'Account Mastery_Reference'!D8</f>
        <v>OK</v>
      </c>
      <c r="E14">
        <f>'Account Mastery_Reference'!N8</f>
        <v>-15</v>
      </c>
      <c r="F14">
        <f t="shared" si="1"/>
        <v>0</v>
      </c>
    </row>
    <row r="15" spans="1:13" x14ac:dyDescent="0.3">
      <c r="A15" t="str">
        <f>'Account Mastery_Reference'!B9</f>
        <v>WM-M008</v>
      </c>
      <c r="B15" t="str">
        <f>'Account Mastery_Reference'!A9</f>
        <v>Account Setup</v>
      </c>
      <c r="C15" t="str">
        <f>'Account Mastery_Reference'!C9</f>
        <v>Narrative Consistency Across Documents</v>
      </c>
      <c r="D15" t="str">
        <f>'Account Mastery_Reference'!D9</f>
        <v>OK</v>
      </c>
      <c r="E15">
        <f>'Account Mastery_Reference'!N9</f>
        <v>-9</v>
      </c>
      <c r="F15">
        <f t="shared" si="1"/>
        <v>0</v>
      </c>
    </row>
    <row r="16" spans="1:13" x14ac:dyDescent="0.3">
      <c r="A16" t="str">
        <f>'Account Mastery_Reference'!B10</f>
        <v>WM-M009</v>
      </c>
      <c r="B16" t="str">
        <f>'Account Mastery_Reference'!A10</f>
        <v>Account Setup</v>
      </c>
      <c r="C16" t="str">
        <f>'Account Mastery_Reference'!C10</f>
        <v>Customizations Documented &amp; Justified</v>
      </c>
      <c r="D16" t="str">
        <f>'Account Mastery_Reference'!D10</f>
        <v>OK</v>
      </c>
      <c r="E16">
        <f>'Account Mastery_Reference'!N10</f>
        <v>-7</v>
      </c>
      <c r="F16">
        <f t="shared" si="1"/>
        <v>0</v>
      </c>
    </row>
    <row r="17" spans="1:6" x14ac:dyDescent="0.3">
      <c r="A17" t="str">
        <f>'Account Mastery_Reference'!B11</f>
        <v>WM-M010</v>
      </c>
      <c r="B17" t="str">
        <f>'Account Mastery_Reference'!A11</f>
        <v>Platform Automation</v>
      </c>
      <c r="C17" t="str">
        <f>'Account Mastery_Reference'!C11</f>
        <v>Quartile Management Rate</v>
      </c>
      <c r="D17" t="str">
        <f>'Account Mastery_Reference'!D11</f>
        <v>OK</v>
      </c>
      <c r="E17">
        <f>'Account Mastery_Reference'!N11</f>
        <v>-15</v>
      </c>
      <c r="F17">
        <f t="shared" si="1"/>
        <v>0</v>
      </c>
    </row>
    <row r="18" spans="1:6" x14ac:dyDescent="0.3">
      <c r="A18" t="str">
        <f>'Account Mastery_Reference'!B12</f>
        <v>WM-M011</v>
      </c>
      <c r="B18" t="str">
        <f>'Account Mastery_Reference'!A12</f>
        <v>Platform Automation</v>
      </c>
      <c r="C18" t="str">
        <f>'Account Mastery_Reference'!C12</f>
        <v>QT Campaign Type Tagging</v>
      </c>
      <c r="D18" t="str">
        <f>'Account Mastery_Reference'!D12</f>
        <v>OK</v>
      </c>
      <c r="E18">
        <f>'Account Mastery_Reference'!N12</f>
        <v>-18</v>
      </c>
      <c r="F18">
        <f t="shared" si="1"/>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2026-05-05T17:48:18Z</dcterms:modified>
</cp:coreProperties>
</file>