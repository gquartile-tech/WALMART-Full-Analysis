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WALMART FULL ANALYSIS/AGENT HEALTH SCORE/"/>
    </mc:Choice>
  </mc:AlternateContent>
  <xr:revisionPtr revIDLastSave="262" documentId="8_{3E3918C5-82FD-409A-9152-AF36AD84C91A}" xr6:coauthVersionLast="47" xr6:coauthVersionMax="47" xr10:uidLastSave="{87BDAB21-6BEE-4703-AE1C-FF477F7464C1}"/>
  <bookViews>
    <workbookView xWindow="-28920" yWindow="-15" windowWidth="29040" windowHeight="15720" activeTab="1" xr2:uid="{00000000-000D-0000-FFFF-FFFF00000000}"/>
  </bookViews>
  <sheets>
    <sheet name="Account Health_Analysis" sheetId="1" r:id="rId1"/>
    <sheet name="Account Health_Reference" sheetId="2" r:id="rId2"/>
    <sheet name="Logic and Calculation" sheetId="3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2" l="1"/>
  <c r="L20" i="2"/>
  <c r="A26" i="3"/>
  <c r="B26" i="3"/>
  <c r="C26" i="3"/>
  <c r="D26" i="3"/>
  <c r="F26" i="3" s="1"/>
  <c r="N20" i="2"/>
  <c r="E26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N8" i="2"/>
  <c r="E14" i="3" s="1"/>
  <c r="N9" i="2"/>
  <c r="E15" i="3" s="1"/>
  <c r="N10" i="2"/>
  <c r="E16" i="3" s="1"/>
  <c r="N11" i="2"/>
  <c r="E17" i="3" s="1"/>
  <c r="N12" i="2"/>
  <c r="E18" i="3" s="1"/>
  <c r="N13" i="2"/>
  <c r="E19" i="3" s="1"/>
  <c r="N14" i="2"/>
  <c r="E20" i="3" s="1"/>
  <c r="N15" i="2"/>
  <c r="E21" i="3" s="1"/>
  <c r="N16" i="2"/>
  <c r="E22" i="3" s="1"/>
  <c r="N17" i="2"/>
  <c r="E23" i="3" s="1"/>
  <c r="N18" i="2"/>
  <c r="E24" i="3" s="1"/>
  <c r="N19" i="2"/>
  <c r="E25" i="3" s="1"/>
  <c r="N7" i="2"/>
  <c r="E13" i="3" s="1"/>
  <c r="D25" i="3"/>
  <c r="C25" i="3"/>
  <c r="B25" i="3"/>
  <c r="A25" i="3"/>
  <c r="D24" i="3"/>
  <c r="C24" i="3"/>
  <c r="B24" i="3"/>
  <c r="A24" i="3"/>
  <c r="D23" i="3"/>
  <c r="C23" i="3"/>
  <c r="B23" i="3"/>
  <c r="A23" i="3"/>
  <c r="D22" i="3"/>
  <c r="C22" i="3"/>
  <c r="B22" i="3"/>
  <c r="A22" i="3"/>
  <c r="D21" i="3"/>
  <c r="C21" i="3"/>
  <c r="B21" i="3"/>
  <c r="A21" i="3"/>
  <c r="D20" i="3"/>
  <c r="C20" i="3"/>
  <c r="B20" i="3"/>
  <c r="A20" i="3"/>
  <c r="D19" i="3"/>
  <c r="C19" i="3"/>
  <c r="B19" i="3"/>
  <c r="A19" i="3"/>
  <c r="D18" i="3"/>
  <c r="C18" i="3"/>
  <c r="B18" i="3"/>
  <c r="A18" i="3"/>
  <c r="D17" i="3"/>
  <c r="F17" i="3" s="1"/>
  <c r="C17" i="3"/>
  <c r="B17" i="3"/>
  <c r="A17" i="3"/>
  <c r="D16" i="3"/>
  <c r="F16" i="3" s="1"/>
  <c r="C16" i="3"/>
  <c r="B16" i="3"/>
  <c r="A16" i="3"/>
  <c r="D15" i="3"/>
  <c r="F15" i="3" s="1"/>
  <c r="C15" i="3"/>
  <c r="B15" i="3"/>
  <c r="A15" i="3"/>
  <c r="D14" i="3"/>
  <c r="C14" i="3"/>
  <c r="B14" i="3"/>
  <c r="A14" i="3"/>
  <c r="D13" i="3"/>
  <c r="C13" i="3"/>
  <c r="B13" i="3"/>
  <c r="A13" i="3"/>
  <c r="D12" i="3"/>
  <c r="C12" i="3"/>
  <c r="B12" i="3"/>
  <c r="A12" i="3"/>
  <c r="D11" i="3"/>
  <c r="C11" i="3"/>
  <c r="B11" i="3"/>
  <c r="A11" i="3"/>
  <c r="D10" i="3"/>
  <c r="C10" i="3"/>
  <c r="B10" i="3"/>
  <c r="A10" i="3"/>
  <c r="D9" i="3"/>
  <c r="F9" i="3" s="1"/>
  <c r="C9" i="3"/>
  <c r="B9" i="3"/>
  <c r="A9" i="3"/>
  <c r="D8" i="3"/>
  <c r="F8" i="3" s="1"/>
  <c r="C8" i="3"/>
  <c r="B8" i="3"/>
  <c r="A8" i="3"/>
  <c r="N6" i="2"/>
  <c r="E12" i="3" s="1"/>
  <c r="N5" i="2"/>
  <c r="E11" i="3" s="1"/>
  <c r="N4" i="2"/>
  <c r="E10" i="3" s="1"/>
  <c r="N3" i="2"/>
  <c r="E9" i="3" s="1"/>
  <c r="N2" i="2"/>
  <c r="E8" i="3" s="1"/>
  <c r="A16" i="1" l="1" a="1"/>
  <c r="A16" i="1" s="1"/>
  <c r="F25" i="3"/>
  <c r="F20" i="3"/>
  <c r="F19" i="3"/>
  <c r="F14" i="3"/>
  <c r="F13" i="3"/>
  <c r="F12" i="3"/>
  <c r="F10" i="3"/>
  <c r="F24" i="3"/>
  <c r="F21" i="3"/>
  <c r="F22" i="3"/>
  <c r="F18" i="3"/>
  <c r="F23" i="3"/>
  <c r="F11" i="3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<sst xmlns="http://schemas.openxmlformats.org/spreadsheetml/2006/main" count="226" uniqueCount="166">
  <si>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</si>
  <si>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</si>
  <si>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</si>
  <si>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</si>
  <si>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</si>
  <si>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</si>
  <si>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</si>
  <si>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</si>
  <si>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</si>
  <si>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</si>
  <si>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</si>
  <si>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</si>
  <si>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</si>
  <si>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</si>
  <si>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</si>
  <si>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</si>
  <si>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</si>
  <si>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OK</t>
  </si>
  <si>
    <t>Medium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</si>
  <si>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</si>
  <si>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</si>
  <si>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</si>
  <si>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</si>
  <si>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</si>
  <si>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</si>
  <si>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</si>
  <si>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</si>
  <si>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</si>
  <si>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</si>
  <si>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</si>
  <si>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</si>
  <si>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</si>
  <si>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</si>
  <si>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</si>
  <si>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</si>
  <si>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</si>
  <si>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</si>
  <si>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</si>
  <si>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 xml:space="preserve">Account Health Version &gt; </t>
  </si>
  <si>
    <t>53588A - US - ZooPro — Account Health Analysis</t>
  </si>
  <si>
    <t>The account demonstrates stable growth, controlled efficiency, and manageable risk exposure. Current trajectory supports continued scaling.</t>
  </si>
  <si>
    <t>Performance gaps or efficiency pressures are emerging that may constrain scalability. Focused corrective action is recommended.</t>
  </si>
  <si>
    <t>Structural performance deterioration or elevated risk indicators threaten business stability. Immediate intervention is required to restore trajectory.</t>
  </si>
  <si>
    <t>At Risk</t>
  </si>
  <si>
    <t>Needs Attention</t>
  </si>
  <si>
    <t>Healthy</t>
  </si>
  <si>
    <t>75–100 = Healthy</t>
  </si>
  <si>
    <t>40–&lt;75 = Needs Attention</t>
  </si>
  <si>
    <t>&lt;40 = At Risk</t>
  </si>
  <si>
    <t>Account Health Grade</t>
  </si>
  <si>
    <t>ACoS Constrains &gt;</t>
  </si>
  <si>
    <t>TACoS Constrains &gt;</t>
  </si>
  <si>
    <t>Budget Constrains &gt;</t>
  </si>
  <si>
    <t>PRIMARY KPI</t>
  </si>
  <si>
    <t>Account Health  Grade</t>
  </si>
  <si>
    <t>04_L24M_Monthly_Performance_Sum</t>
  </si>
  <si>
    <t>CTR Performance</t>
  </si>
  <si>
    <t>CPC Trend</t>
  </si>
  <si>
    <t>Keyword Health</t>
  </si>
  <si>
    <t>High-Spend Zero-Order Keywords</t>
  </si>
  <si>
    <t>Monthly Spend Trend (L24M)</t>
  </si>
  <si>
    <t>Marketplace Health</t>
  </si>
  <si>
    <t>Refund Rate on Marketplace Orders</t>
  </si>
  <si>
    <t>Product-Level ACoS Outliers</t>
  </si>
  <si>
    <t>Read ACoS from 02_Date_Range_KPIs; compare to target in 13_Product_Level_ACoS or CS notes</t>
  </si>
  <si>
    <t>02_Date_Range_KPIs + 13_Product_Level_ACoS</t>
  </si>
  <si>
    <t>02_Date_Range_KPIs</t>
  </si>
  <si>
    <t>Compute AdSales / TotalSales from 02_Date_Range_KPIs</t>
  </si>
  <si>
    <t>Compare CTR vs prior period; flag if decline &gt; 20%</t>
  </si>
  <si>
    <t>Compare CTR and Prev_CTR from 02_Date_Range_KPIs</t>
  </si>
  <si>
    <t>Compare CR vs prior period; flag if decline &gt; 15%</t>
  </si>
  <si>
    <t>CVR drop on Walmart is often tied to pricing uncompetitiveness, out-of-stock items, or review score degradation</t>
  </si>
  <si>
    <t>02_Date_Range_KPIs + 22_Product_Catalog</t>
  </si>
  <si>
    <t>CPC spikes signal increased auction competition or bid management issues — both require diagnosis before scaling</t>
  </si>
  <si>
    <t>Compare CPC and Prev_CPC from 02_Date_Range_KPIs</t>
  </si>
  <si>
    <t>20_Keyword_Performance_Report</t>
  </si>
  <si>
    <t>Zero-conversion high-spend keywords are direct budget leakage — they should be negated or restructured</t>
  </si>
  <si>
    <t>Filter 20_Keyword_Performance_Report where AdSpend &gt; threshold and Orders = 0</t>
  </si>
  <si>
    <t>Declining spend trend without a strategic reason signals budget erosion or account disengagement</t>
  </si>
  <si>
    <t>29_Marketplace_Order_Lines</t>
  </si>
  <si>
    <t>22_Product_Catalog</t>
  </si>
  <si>
    <t>Read ACoS_Percent by ProductId from 13_Product_Level_ACoS; flag items above 2x account target</t>
  </si>
  <si>
    <t>13_Product_Level_ACoS</t>
  </si>
  <si>
    <t>03_Yearly_KPIs___Current_vs__La + 05_Monthly_Sales_YoY_Comparison</t>
  </si>
  <si>
    <t>Core KPIs</t>
  </si>
  <si>
    <t>WM-H001</t>
  </si>
  <si>
    <t>ACoS vs Project</t>
  </si>
  <si>
    <t>Compare account-level ACoS to documented target; flag if deviation &gt; 20%</t>
  </si>
  <si>
    <t>ACoS above target signals bidding inefficiency or CVR degradation — requires immediate diagnosis before scaling</t>
  </si>
  <si>
    <t>WM-H002</t>
  </si>
  <si>
    <t>TACoS vs Project</t>
  </si>
  <si>
    <t>Compare TACoS to documented target; flag if more than 10% above target</t>
  </si>
  <si>
    <t>TACoS above target signals advertising is not generating organic lift — every incremental dollar of spend is less productive</t>
  </si>
  <si>
    <t>Compare TACoS and Prev_TACoS from 02_Date_Range_KPIs vs target in project dataset</t>
  </si>
  <si>
    <t>WM-H003</t>
  </si>
  <si>
    <t>ROAS Trend (L30 vs Prev30)</t>
  </si>
  <si>
    <t>Compare ROAS current 30 days vs prior 30 days; flag if decline &gt; 15%</t>
  </si>
  <si>
    <t>Declining ROAS trend is the earliest signal of structural efficiency loss — catching it early avoids large spend waste</t>
  </si>
  <si>
    <t>Compute ROAS from AdSales / AdSpend in 02_Date_Range_KPIs; compare periods</t>
  </si>
  <si>
    <t>WM-H004</t>
  </si>
  <si>
    <t>Sales Trend</t>
  </si>
  <si>
    <t>Compare AdSales current period vs prior period; flag if decline &gt; 10%</t>
  </si>
  <si>
    <t>Sales decline without a strategic explanation requires immediate root cause investigation</t>
  </si>
  <si>
    <t>Compare AdSales and Prev_AdSales from 02_Date_Range_KPIs</t>
  </si>
  <si>
    <t>WM-H005</t>
  </si>
  <si>
    <t>Ad Sales vs Total Sales Ratio (Paid Dependency)</t>
  </si>
  <si>
    <t>Calculate AdSales / TotalSales; flag if paid dependency &gt; 70%</t>
  </si>
  <si>
    <t>High paid dependency on Walmart signals weak organic rank — the account is unsustainable at scale without ad spend</t>
  </si>
  <si>
    <t>WM-H006</t>
  </si>
  <si>
    <t>CTR decline on Walmart signals creative fatigue, relevance drop, or placement shift away from premium positions</t>
  </si>
  <si>
    <t>WM-H007</t>
  </si>
  <si>
    <t>CVR Health</t>
  </si>
  <si>
    <t>Compare CR and Prev_CR from 02_Date_Range_KPIs; cross-check product ratings</t>
  </si>
  <si>
    <t>WM-H008</t>
  </si>
  <si>
    <t>Compare CPC vs prior period; flag if increase &gt; 20%</t>
  </si>
  <si>
    <t>WM-H009</t>
  </si>
  <si>
    <t>YoY Sales &amp; Spend Trajectory</t>
  </si>
  <si>
    <t>Compare current vs last year spend and sales growth rates; flag if sales growth lags spend growth</t>
  </si>
  <si>
    <t>YoY divergence between spend growth and sales growth reveals scaling efficiency loss or market share erosion</t>
  </si>
  <si>
    <t>Read from 03_Yearly_KPIs and 05_Monthly_Sales_YoY_Comparison; compute growth rates</t>
  </si>
  <si>
    <t>WM-H018</t>
  </si>
  <si>
    <t>Identify keywords with significant spend and zero orders in the period; target = 0</t>
  </si>
  <si>
    <t>WM-H019</t>
  </si>
  <si>
    <t>Match Type ACoS Floor (No Type &gt; 100%)</t>
  </si>
  <si>
    <t>Verify no match type has an ACoS &gt; 100% at the account level</t>
  </si>
  <si>
    <t>Any match type running at ACoS &gt; 100% is destroying value — spend is higher than the revenue it generates</t>
  </si>
  <si>
    <t>Aggregate ACoS by MatchType from 20_Keyword_Performance_Report; flag any type above 100%</t>
  </si>
  <si>
    <t>Product Rating Health</t>
  </si>
  <si>
    <t>Check that &gt; 70% of advertised items have AverageRating &gt;= 4.0</t>
  </si>
  <si>
    <t>Low ratings on Walmart suppress CVR regardless of ad efficiency — advertising poor-rated items wastes every click</t>
  </si>
  <si>
    <t>Read AverageRating from 22_Product_Catalog for all active ad items; compute pass rate</t>
  </si>
  <si>
    <t>Product Review Floor</t>
  </si>
  <si>
    <t>Check that &gt; 80% of advertised items have ReviewCount &gt;= 10</t>
  </si>
  <si>
    <t>Items with fewer than 10 reviews on Walmart have insufficient social proof to convert — ad spend on them is premature</t>
  </si>
  <si>
    <t>Read ReviewCount from 22_Product_Catalog for active ad items; compute pass rate</t>
  </si>
  <si>
    <t>Buybox Pricing Competitiveness</t>
  </si>
  <si>
    <t>Check if advertised items have BuyboxWinnerPrice and flag items where item Price &gt; buybox winner</t>
  </si>
  <si>
    <t>Advertising an item that has lost the buy box wastes every click — on Walmart, the buy box is the conversion gate</t>
  </si>
  <si>
    <t>Read Price and BuyboxWinnerPrice from 22_Product_Catalog; flag items where price &gt; buybox winner price</t>
  </si>
  <si>
    <t>Marketplace Order Cancellation Rate</t>
  </si>
  <si>
    <t>Calculate cancellation rate from Marketplace Order Lines; flag if &gt; 3%</t>
  </si>
  <si>
    <t>High cancellation rate triggers Walmart algorithmic suppression of item ranking and can lead to account suspension</t>
  </si>
  <si>
    <t>Compute cancelled orders / total orders from 29_Marketplace_Order_Lines using OrderLineStatus</t>
  </si>
  <si>
    <t>2-Day Shipping Rate</t>
  </si>
  <si>
    <t>Check % of orders fulfilled with 2-day shipping for non-bulky categories; flag if &lt; 50%</t>
  </si>
  <si>
    <t>Walmart's algorithm rewards 2-day shipping with better organic placement — low rates hurt both rank and CVR</t>
  </si>
  <si>
    <t>Aggregate ShippingProgramType from 29_Marketplace_Order_Lines; compute 2-day rate</t>
  </si>
  <si>
    <t>Calculate Refunds_TotalChargeAmount / TotalChargeAmount; flag if &gt; 5%</t>
  </si>
  <si>
    <t>High refund rates signal product quality or fulfillment issues that suppress organic ranking and CVR over time</t>
  </si>
  <si>
    <t>Compute refund ratio from TotalChargeAmount and Refunds_TotalChargeAmount in 29_Marketplace_Order_Lines</t>
  </si>
  <si>
    <t>Identify products where ACoS significantly exceeds account target (&gt; 2x target); flag count</t>
  </si>
  <si>
    <t>Product-level ACoS outliers inflate account-level ACoS and mask structural issues in the catalog mix</t>
  </si>
  <si>
    <t>Budget Pacing</t>
  </si>
  <si>
    <t>Evaluate month-over-month spend trajectory over last 24 months; flag sustained decline</t>
  </si>
  <si>
    <t>Read monthly spend from 04_L24M_Monthly_Performance_Sum; compute MoM trend</t>
  </si>
  <si>
    <t>02_Date_Range_KPIs + 14_Project_Dataset_on_SF</t>
  </si>
  <si>
    <t>WM-H010</t>
  </si>
  <si>
    <t>WM-H011</t>
  </si>
  <si>
    <t>WM-H012</t>
  </si>
  <si>
    <t>WM-H013</t>
  </si>
  <si>
    <t>WM-H014</t>
  </si>
  <si>
    <t>WM-H015</t>
  </si>
  <si>
    <t>WM-H016</t>
  </si>
  <si>
    <t>WM-H017</t>
  </si>
  <si>
    <t>Walmart v1.0</t>
  </si>
  <si>
    <t>What You Should 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</si>
</sst>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9"/>
      <color rgb="FFFFFFFF"/>
      <name val="Calibri"/>
      <family val="2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19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top" wrapText="1"/>
    </xf>
    <xf numFmtId="0" fontId="5" fillId="2" borderId="5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9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6" fillId="0" borderId="2" xfId="0" applyFont="1" applyBorder="1" applyAlignment="1">
      <alignment vertical="top" wrapText="1"/>
    </xf>
    <xf numFmtId="0" fontId="11" fillId="0" borderId="0" xfId="0" applyFont="1" applyAlignment="1">
      <alignment vertical="top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vertical="top" wrapText="1"/>
    </xf>
    <xf numFmtId="0" fontId="0" fillId="0" borderId="15" xfId="0" applyBorder="1"/>
    <xf numFmtId="0" fontId="0" fillId="5" borderId="15" xfId="0" applyFill="1" applyBorder="1"/>
    <xf numFmtId="22" fontId="0" fillId="5" borderId="15" xfId="0" applyNumberFormat="1" applyFill="1" applyBorder="1" applyAlignment="1">
      <alignment horizontal="left"/>
    </xf>
    <xf numFmtId="0" fontId="0" fillId="5" borderId="17" xfId="0" applyFill="1" applyBorder="1"/>
    <xf numFmtId="0" fontId="0" fillId="5" borderId="15" xfId="0" applyFill="1" applyBorder="1" applyAlignment="1">
      <alignment wrapText="1"/>
    </xf>
    <xf numFmtId="0" fontId="12" fillId="0" borderId="15" xfId="0" applyFont="1" applyBorder="1"/>
    <xf numFmtId="0" fontId="10" fillId="2" borderId="13" xfId="0" applyFont="1" applyFill="1" applyBorder="1" applyAlignment="1">
      <alignment horizontal="center" vertical="center" wrapText="1"/>
    </xf>
    <xf numFmtId="0" fontId="13" fillId="0" borderId="0" xfId="0" applyFont="1"/>
    <xf numFmtId="0" fontId="2" fillId="5" borderId="0" xfId="0" applyFont="1" applyFill="1"/>
    <xf numFmtId="0" fontId="9" fillId="5" borderId="0" xfId="0" applyFont="1" applyFill="1" applyAlignment="1">
      <alignment horizontal="center" vertical="top" wrapText="1"/>
    </xf>
    <xf numFmtId="0" fontId="1" fillId="7" borderId="10" xfId="0" applyFont="1" applyFill="1" applyBorder="1" applyAlignment="1">
      <alignment horizontal="center" vertical="center"/>
    </xf>
    <xf numFmtId="0" fontId="0" fillId="7" borderId="16" xfId="0" applyFill="1" applyBorder="1"/>
    <xf numFmtId="0" fontId="0" fillId="7" borderId="11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9" fillId="5" borderId="18" xfId="0" applyFont="1" applyFill="1" applyBorder="1" applyAlignment="1">
      <alignment horizontal="center" vertical="top" wrapText="1"/>
    </xf>
    <xf numFmtId="0" fontId="0" fillId="0" borderId="16" xfId="0" applyBorder="1"/>
    <xf numFmtId="0" fontId="1" fillId="5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0" xfId="0" applyAlignment="1">
      <alignment horizontal="center"/>
    </xf>
    <xf numFmtId="0" fontId="0" fillId="5" borderId="0" xfId="0" applyFill="1" applyBorder="1" applyAlignment="1">
      <alignment wrapText="1"/>
    </xf>
  </cellXfs>
  <cellStyles count="1">
    <cellStyle name="Normal" xfId="0" builtinId="0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O20" totalsRowShown="0" headerRowDxfId="26" dataDxfId="25" tableBorderDxfId="24">
  <autoFilter ref="A1:O20" xr:uid="{00000000-0009-0000-0100-000001000000}"/>
  <tableColumns count="15">
    <tableColumn id="1" xr3:uid="{00000000-0010-0000-0000-000001000000}" name="Block" dataDxfId="23"/>
    <tableColumn id="2" xr3:uid="{00000000-0010-0000-0000-000002000000}" name="Control ID" dataDxfId="22"/>
    <tableColumn id="3" xr3:uid="{00000000-0010-0000-0000-000003000000}" name="Control Name" dataDxfId="21"/>
    <tableColumn id="4" xr3:uid="{00000000-0010-0000-0000-000004000000}" name="STATUS" dataDxfId="20"/>
    <tableColumn id="5" xr3:uid="{00000000-0010-0000-0000-000005000000}" name="What" dataDxfId="19"/>
    <tableColumn id="6" xr3:uid="{00000000-0010-0000-0000-000006000000}" name="Why" dataDxfId="18"/>
    <tableColumn id="7" xr3:uid="{00000000-0010-0000-0000-000007000000}" name="How" dataDxfId="17"/>
    <tableColumn id="14" xr3:uid="{00000000-0010-0000-0000-00000E000000}" name="What We Saw" dataDxfId="16"/>
    <tableColumn id="15" xr3:uid="{FA9EC243-A17B-4D3B-9471-768ECDF637B4}" name="Why It Matters" dataDxfId="0"/>
    <tableColumn id="13" xr3:uid="{00000000-0010-0000-0000-00000D000000}" name="What You Should Do" dataDxfId="15"/>
    <tableColumn id="8" xr3:uid="{00000000-0010-0000-0000-000008000000}" name="Data Source" dataDxfId="14"/>
    <tableColumn id="9" xr3:uid="{00000000-0010-0000-0000-000009000000}" name="Impact" dataDxfId="13">
      <calculatedColumnFormula>VLOOKUP(Table1[[#This Row],[Importance]],'Logic and Calculation'!$H$3:$J$12,3,FALSE)</calculatedColumnFormula>
    </tableColumn>
    <tableColumn id="10" xr3:uid="{00000000-0010-0000-0000-00000A000000}" name="Importance" dataDxfId="12"/>
    <tableColumn id="11" xr3:uid="{00000000-0010-0000-0000-00000B000000}" name="Priority" dataDxfId="11"/>
    <tableColumn id="12" xr3:uid="{00000000-0010-0000-0000-00000C000000}" name="Notes/Intent" dataDxfId="1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39"/>
  <sheetViews>
    <sheetView zoomScale="70" zoomScaleNormal="70" workbookViewId="0">
      <pane ySplit="8" topLeftCell="A9" activePane="bottomLeft" state="frozen"/>
      <selection pane="bottomLeft" activeCell="F22" sqref="F22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22" customWidth="1"/>
    <col min="5" max="6" width="50.21875" style="22" customWidth="1"/>
    <col min="7" max="7" width="34.44140625" customWidth="1"/>
    <col min="8" max="8" width="26.77734375" style="16" customWidth="1"/>
    <col min="9" max="9" width="21.5546875" style="16" bestFit="1" customWidth="1"/>
    <col min="10" max="10" width="26.21875" style="16" bestFit="1" customWidth="1"/>
    <col min="11" max="11" width="19.6640625" style="16" bestFit="1" customWidth="1"/>
    <col min="12" max="12" width="19.44140625" style="16" bestFit="1" customWidth="1"/>
    <col min="13" max="13" width="21.88671875" style="16" bestFit="1" customWidth="1"/>
    <col min="14" max="14" width="25" style="16" bestFit="1" customWidth="1"/>
    <col min="15" max="15" width="25.6640625" style="16" bestFit="1" customWidth="1"/>
    <col min="16" max="16" width="28.44140625" style="16" bestFit="1" customWidth="1"/>
    <col min="17" max="17" width="27.6640625" style="16" bestFit="1" customWidth="1"/>
    <col min="18" max="18" width="22.33203125" style="16" bestFit="1" customWidth="1"/>
    <col min="19" max="19" width="16.88671875" style="16" bestFit="1" customWidth="1"/>
    <col min="20" max="20" width="10.6640625" style="16" bestFit="1" customWidth="1"/>
    <col min="21" max="21" width="26.6640625" style="16" bestFit="1" customWidth="1"/>
    <col min="22" max="22" width="27.6640625" style="16" bestFit="1" customWidth="1"/>
    <col min="23" max="23" width="18.88671875" style="16" bestFit="1" customWidth="1"/>
    <col min="24" max="24" width="20" style="16" bestFit="1" customWidth="1"/>
    <col min="25" max="25" width="14.44140625" style="16" bestFit="1" customWidth="1"/>
    <col min="26" max="26" width="19.44140625" style="16" bestFit="1" customWidth="1"/>
    <col min="27" max="27" width="12.77734375" style="16" bestFit="1" customWidth="1"/>
    <col min="28" max="28" width="30.44140625" style="16" bestFit="1" customWidth="1"/>
    <col min="29" max="29" width="24.88671875" style="16" bestFit="1" customWidth="1"/>
    <col min="30" max="30" width="20.44140625" style="16" bestFit="1" customWidth="1"/>
    <col min="31" max="31" width="16.109375" style="16" bestFit="1" customWidth="1"/>
    <col min="32" max="32" width="21.5546875" style="16" bestFit="1" customWidth="1"/>
    <col min="33" max="33" width="25.77734375" bestFit="1" customWidth="1"/>
    <col min="34" max="34" width="16.88671875" bestFit="1" customWidth="1"/>
    <col min="35" max="35" width="24.109375" bestFit="1" customWidth="1"/>
    <col min="36" max="36" width="26" bestFit="1" customWidth="1"/>
    <col min="37" max="37" width="22.21875" bestFit="1" customWidth="1"/>
    <col min="38" max="38" width="28" bestFit="1" customWidth="1"/>
    <col min="39" max="39" width="22.21875" bestFit="1" customWidth="1"/>
    <col min="40" max="40" width="16.77734375" bestFit="1" customWidth="1"/>
    <col min="41" max="41" width="14.33203125" bestFit="1" customWidth="1"/>
    <col min="42" max="42" width="16.5546875" bestFit="1" customWidth="1"/>
    <col min="43" max="43" width="15.5546875" bestFit="1" customWidth="1"/>
    <col min="44" max="44" width="21.21875" bestFit="1" customWidth="1"/>
    <col min="45" max="45" width="19.33203125" bestFit="1" customWidth="1"/>
    <col min="46" max="46" width="20.21875" bestFit="1" customWidth="1"/>
    <col min="47" max="47" width="18.5546875" bestFit="1" customWidth="1"/>
    <col min="48" max="48" width="19.6640625" bestFit="1" customWidth="1"/>
    <col min="49" max="49" width="29.33203125" bestFit="1" customWidth="1"/>
    <col min="50" max="50" width="12.44140625" bestFit="1" customWidth="1"/>
    <col min="51" max="51" width="22.6640625" bestFit="1" customWidth="1"/>
    <col min="52" max="52" width="15.77734375" bestFit="1" customWidth="1"/>
    <col min="53" max="53" width="28.21875" bestFit="1" customWidth="1"/>
    <col min="54" max="54" width="21.5546875" bestFit="1" customWidth="1"/>
    <col min="55" max="55" width="26.33203125" bestFit="1" customWidth="1"/>
    <col min="56" max="56" width="19.5546875" bestFit="1" customWidth="1"/>
    <col min="57" max="57" width="11" bestFit="1" customWidth="1"/>
  </cols>
  <sheetData>
    <row r="1" spans="1:8" ht="28.05" customHeight="1" thickBot="1" x14ac:dyDescent="0.35">
      <c r="A1" s="42" t="s">
        <v>39</v>
      </c>
      <c r="B1" s="43"/>
      <c r="C1" s="44"/>
      <c r="D1" s="44"/>
      <c r="E1" s="44"/>
      <c r="F1" s="44"/>
      <c r="G1" s="44"/>
    </row>
    <row r="2" spans="1:8" ht="15" thickBot="1" x14ac:dyDescent="0.35">
      <c r="A2" s="25" t="s">
        <v>38</v>
      </c>
      <c r="B2" s="33" t="s">
        <v>164</v>
      </c>
      <c r="C2" s="16"/>
      <c r="D2" s="45"/>
      <c r="E2" s="46"/>
      <c r="F2" s="46"/>
      <c r="G2" s="46"/>
    </row>
    <row r="3" spans="1:8" ht="15" thickBot="1" x14ac:dyDescent="0.35">
      <c r="A3" s="24" t="s">
        <v>34</v>
      </c>
      <c r="B3" s="32" t="s">
        <v>35</v>
      </c>
      <c r="D3" s="23"/>
      <c r="E3"/>
      <c r="F3"/>
    </row>
    <row r="4" spans="1:8" ht="14.4" customHeight="1" thickBot="1" x14ac:dyDescent="0.35">
      <c r="A4" s="25" t="s">
        <v>33</v>
      </c>
      <c r="B4" s="35" t="s">
        <v>36</v>
      </c>
      <c r="C4" s="16"/>
      <c r="D4" s="45"/>
      <c r="E4" s="46"/>
      <c r="F4" s="46"/>
      <c r="G4" s="46"/>
    </row>
    <row r="5" spans="1:8" ht="14.4" customHeight="1" thickBot="1" x14ac:dyDescent="0.35">
      <c r="A5" s="25" t="s">
        <v>37</v>
      </c>
      <c r="B5" s="34">
        <v>46083.684884259259</v>
      </c>
      <c r="C5" s="16"/>
      <c r="D5" s="23"/>
      <c r="E5"/>
      <c r="F5"/>
    </row>
    <row r="6" spans="1:8" ht="15" thickBot="1" x14ac:dyDescent="0.35">
      <c r="A6" s="16"/>
      <c r="B6" s="16"/>
      <c r="C6" s="16"/>
      <c r="D6" s="21"/>
      <c r="E6" s="21"/>
      <c r="F6" s="21"/>
      <c r="G6" s="16"/>
    </row>
    <row r="7" spans="1:8" ht="21" customHeight="1" thickBot="1" x14ac:dyDescent="0.35">
      <c r="A7" s="47" t="s">
        <v>49</v>
      </c>
      <c r="B7" s="46"/>
      <c r="C7" s="46"/>
      <c r="D7" s="51" t="str">
        <f>'Logic and Calculation'!B5</f>
        <v>Healthy</v>
      </c>
      <c r="E7" s="52"/>
      <c r="F7" s="52"/>
      <c r="G7" s="52"/>
    </row>
    <row r="8" spans="1:8" ht="18" customHeight="1" x14ac:dyDescent="0.3">
      <c r="A8" s="47" t="s">
        <v>0</v>
      </c>
      <c r="B8" s="46"/>
      <c r="C8" s="46"/>
      <c r="D8" s="49" t="str">
        <f t="array" ref="D8">_xlfn.IFS(D7='Logic and Calculation'!L3,'Logic and Calculation'!M3,D7='Logic and Calculation'!L4,'Logic and Calculation'!M4,D7='Logic and Calculation'!L5,'Logic and Calculation'!M5)</f>
        <v>The account demonstrates stable growth, controlled efficiency, and manageable risk exposure. Current trajectory supports continued scaling.</v>
      </c>
      <c r="E8" s="50"/>
      <c r="F8" s="50"/>
      <c r="G8" s="50"/>
    </row>
    <row r="9" spans="1:8" ht="18" customHeight="1" thickBot="1" x14ac:dyDescent="0.35">
      <c r="A9" s="40"/>
      <c r="D9" s="41"/>
      <c r="E9"/>
      <c r="F9"/>
    </row>
    <row r="10" spans="1:8" ht="18" customHeight="1" thickBot="1" x14ac:dyDescent="0.35">
      <c r="A10" s="24" t="s">
        <v>50</v>
      </c>
      <c r="B10" s="32"/>
      <c r="C10" s="16"/>
      <c r="D10" s="53"/>
      <c r="E10" s="53"/>
      <c r="F10" s="53"/>
      <c r="G10" s="53"/>
    </row>
    <row r="11" spans="1:8" ht="18" customHeight="1" thickBot="1" x14ac:dyDescent="0.35">
      <c r="A11" s="24" t="s">
        <v>51</v>
      </c>
      <c r="B11" s="33"/>
      <c r="C11" s="16"/>
      <c r="D11" s="37" t="s">
        <v>53</v>
      </c>
      <c r="E11" s="36"/>
      <c r="F11" s="54"/>
      <c r="G11" s="16"/>
    </row>
    <row r="12" spans="1:8" ht="18" customHeight="1" thickBot="1" x14ac:dyDescent="0.35">
      <c r="A12" s="24" t="s">
        <v>52</v>
      </c>
      <c r="B12" s="34"/>
      <c r="C12" s="16"/>
      <c r="D12" s="21"/>
      <c r="E12" s="21"/>
      <c r="F12" s="21"/>
      <c r="G12" s="16"/>
    </row>
    <row r="13" spans="1:8" ht="18" customHeight="1" x14ac:dyDescent="0.3">
      <c r="A13" s="16"/>
      <c r="B13" s="16"/>
      <c r="C13" s="16"/>
      <c r="D13" s="21"/>
      <c r="E13" s="21"/>
      <c r="F13" s="21"/>
      <c r="G13" s="16"/>
    </row>
    <row r="14" spans="1:8" x14ac:dyDescent="0.3">
      <c r="A14" s="48" t="s">
        <v>1</v>
      </c>
      <c r="B14" s="46"/>
      <c r="C14" s="46"/>
      <c r="D14" s="46"/>
      <c r="E14" s="46"/>
      <c r="F14" s="46"/>
      <c r="G14" s="46"/>
    </row>
    <row r="15" spans="1:8" ht="19.95" customHeight="1" x14ac:dyDescent="0.3">
      <c r="A15" s="1" t="s">
        <v>2</v>
      </c>
      <c r="B15" s="1" t="s">
        <v>3</v>
      </c>
      <c r="C15" s="1" t="s">
        <v>4</v>
      </c>
      <c r="D15" s="1" t="s">
        <v>5</v>
      </c>
      <c r="E15" s="1" t="s">
        <v>6</v>
      </c>
      <c r="F15" s="1" t="s">
        <v>165</v>
      </c>
      <c r="G15" s="1" t="s">
        <v>7</v>
      </c>
      <c r="H15" s="14"/>
    </row>
    <row r="16" spans="1:8" ht="44.4" customHeight="1" x14ac:dyDescent="0.3">
      <c r="A16" s="17" t="str" cm="1">
        <f t="array" ref="A16">_xlfn.LET(
  _xlpm.id, 'Account Health_Reference'!B2:B20,
  _xlpm.name, 'Account Health_Reference'!C2:C20,
  _xlpm.st, 'Account Health_Reference'!D2:D20,
  _xlpm.saw, 'Account Health_Reference'!H2:H20,
  _xlpm.matter, 'Account Health_Reference'!J2:J20,
  _xlpm.impact, 'Account Health_Reference'!L2:L20,
  _xlpm.data, _xlfn.HSTACK(_xlpm.id, _xlpm.name, _xlpm.st, _xlpm.saw, _xlpm.matter, _xlpm.impact),
  _xlfn._xlws.FILTER(_xlpm.data, _xlpm.st&lt;&gt;"OK", "No findings — all controls OK")
)</f>
        <v>No findings — all controls OK</v>
      </c>
      <c r="B16" s="17"/>
      <c r="C16" s="18"/>
      <c r="D16" s="19"/>
      <c r="E16" s="19"/>
      <c r="F16" s="19"/>
      <c r="G16" s="17"/>
    </row>
    <row r="17" spans="1:7" ht="44.4" customHeight="1" x14ac:dyDescent="0.3">
      <c r="A17" s="17"/>
      <c r="B17" s="17"/>
      <c r="C17" s="15"/>
      <c r="D17" s="19"/>
      <c r="E17" s="19"/>
      <c r="F17" s="19"/>
      <c r="G17" s="17"/>
    </row>
    <row r="18" spans="1:7" ht="44.4" customHeight="1" x14ac:dyDescent="0.3">
      <c r="A18" s="17"/>
      <c r="B18" s="17"/>
      <c r="C18" s="15"/>
      <c r="D18" s="19"/>
      <c r="E18" s="19"/>
      <c r="F18" s="19"/>
      <c r="G18" s="17"/>
    </row>
    <row r="19" spans="1:7" ht="44.4" customHeight="1" x14ac:dyDescent="0.3">
      <c r="A19" s="17"/>
      <c r="B19" s="17"/>
      <c r="C19" s="15"/>
      <c r="D19" s="19"/>
      <c r="E19" s="19"/>
      <c r="F19" s="19"/>
      <c r="G19" s="17"/>
    </row>
    <row r="20" spans="1:7" ht="44.4" customHeight="1" x14ac:dyDescent="0.3">
      <c r="A20" s="17"/>
      <c r="B20" s="17"/>
      <c r="C20" s="15"/>
      <c r="D20" s="19"/>
      <c r="E20" s="19"/>
      <c r="F20" s="19"/>
      <c r="G20" s="17"/>
    </row>
    <row r="21" spans="1:7" ht="44.4" customHeight="1" x14ac:dyDescent="0.3">
      <c r="A21" s="17"/>
      <c r="B21" s="17"/>
      <c r="C21" s="15"/>
      <c r="D21" s="19"/>
      <c r="E21" s="19"/>
      <c r="F21" s="19"/>
      <c r="G21" s="17"/>
    </row>
    <row r="22" spans="1:7" ht="44.4" customHeight="1" x14ac:dyDescent="0.3">
      <c r="A22" s="17"/>
      <c r="B22" s="17"/>
      <c r="C22" s="15"/>
      <c r="D22" s="19"/>
      <c r="E22" s="19"/>
      <c r="F22" s="19"/>
      <c r="G22" s="17"/>
    </row>
    <row r="23" spans="1:7" ht="44.4" customHeight="1" x14ac:dyDescent="0.3">
      <c r="A23" s="17"/>
      <c r="B23" s="17"/>
      <c r="C23" s="15"/>
      <c r="D23" s="19"/>
      <c r="E23" s="19"/>
      <c r="F23" s="19"/>
      <c r="G23" s="17"/>
    </row>
    <row r="24" spans="1:7" ht="44.4" customHeight="1" x14ac:dyDescent="0.3">
      <c r="A24" s="17"/>
      <c r="B24" s="17"/>
      <c r="C24" s="15"/>
      <c r="D24" s="19"/>
      <c r="E24" s="19"/>
      <c r="F24" s="19"/>
      <c r="G24" s="17"/>
    </row>
    <row r="25" spans="1:7" ht="44.4" customHeight="1" x14ac:dyDescent="0.3">
      <c r="A25" s="17"/>
      <c r="B25" s="17"/>
      <c r="C25" s="15"/>
      <c r="D25" s="19"/>
      <c r="E25" s="19"/>
      <c r="F25" s="19"/>
      <c r="G25" s="17"/>
    </row>
    <row r="26" spans="1:7" ht="44.4" customHeight="1" x14ac:dyDescent="0.3">
      <c r="A26" s="17"/>
      <c r="B26" s="17"/>
      <c r="C26" s="15"/>
      <c r="D26" s="19"/>
      <c r="E26" s="19"/>
      <c r="F26" s="19"/>
      <c r="G26" s="17"/>
    </row>
    <row r="27" spans="1:7" ht="44.4" customHeight="1" x14ac:dyDescent="0.3">
      <c r="A27" s="17"/>
      <c r="B27" s="17"/>
      <c r="C27" s="15"/>
      <c r="D27" s="19"/>
      <c r="E27" s="19"/>
      <c r="F27" s="19"/>
      <c r="G27" s="17"/>
    </row>
    <row r="28" spans="1:7" ht="44.4" customHeight="1" x14ac:dyDescent="0.3">
      <c r="A28" s="17"/>
      <c r="B28" s="17"/>
      <c r="C28" s="15"/>
      <c r="D28" s="19"/>
      <c r="E28" s="19"/>
      <c r="F28" s="19"/>
      <c r="G28" s="17"/>
    </row>
    <row r="29" spans="1:7" ht="44.4" customHeight="1" x14ac:dyDescent="0.3">
      <c r="A29" s="17"/>
      <c r="B29" s="17"/>
      <c r="C29" s="15"/>
      <c r="D29" s="19"/>
      <c r="E29" s="19"/>
      <c r="F29" s="19"/>
      <c r="G29" s="17"/>
    </row>
    <row r="30" spans="1:7" ht="44.4" customHeight="1" x14ac:dyDescent="0.3">
      <c r="A30" s="16"/>
      <c r="B30" s="16"/>
      <c r="C30" s="15"/>
      <c r="D30" s="21"/>
      <c r="E30" s="21"/>
      <c r="F30" s="21"/>
      <c r="G30" s="16"/>
    </row>
    <row r="31" spans="1:7" ht="44.4" customHeight="1" x14ac:dyDescent="0.3">
      <c r="A31" s="16"/>
      <c r="B31" s="16"/>
      <c r="C31" s="15"/>
      <c r="D31" s="21"/>
      <c r="E31" s="21"/>
      <c r="F31" s="21"/>
      <c r="G31" s="16"/>
    </row>
    <row r="32" spans="1:7" ht="44.4" customHeight="1" x14ac:dyDescent="0.3">
      <c r="A32" s="16"/>
      <c r="B32" s="16"/>
      <c r="C32" s="15"/>
      <c r="D32" s="21"/>
      <c r="E32" s="21"/>
      <c r="F32" s="21"/>
      <c r="G32" s="16"/>
    </row>
    <row r="33" spans="1:7" ht="44.4" customHeight="1" x14ac:dyDescent="0.3">
      <c r="A33" s="16"/>
      <c r="B33" s="16"/>
      <c r="C33" s="15"/>
      <c r="D33" s="21"/>
      <c r="E33" s="21"/>
      <c r="F33" s="21"/>
      <c r="G33" s="16"/>
    </row>
    <row r="34" spans="1:7" ht="44.4" customHeight="1" x14ac:dyDescent="0.3">
      <c r="A34" s="16"/>
      <c r="B34" s="16"/>
      <c r="C34" s="15"/>
      <c r="D34" s="21"/>
      <c r="E34" s="21"/>
      <c r="F34" s="21"/>
      <c r="G34" s="16"/>
    </row>
    <row r="35" spans="1:7" ht="44.4" customHeight="1" x14ac:dyDescent="0.3">
      <c r="C35" s="15"/>
    </row>
    <row r="36" spans="1:7" ht="44.4" customHeight="1" x14ac:dyDescent="0.3">
      <c r="C36" s="15"/>
    </row>
    <row r="37" spans="1:7" ht="44.4" customHeight="1" x14ac:dyDescent="0.3">
      <c r="C37" s="15"/>
    </row>
    <row r="38" spans="1:7" ht="44.4" customHeight="1" x14ac:dyDescent="0.3">
      <c r="C38" s="15"/>
    </row>
    <row r="39" spans="1:7" ht="44.4" customHeight="1" x14ac:dyDescent="0.3">
      <c r="C39" s="15"/>
    </row>
  </sheetData>
  <mergeCells count="9">
    <mergeCell ref="A1:G1"/>
    <mergeCell ref="D4:G4"/>
    <mergeCell ref="A7:C7"/>
    <mergeCell ref="A14:G14"/>
    <mergeCell ref="D8:G8"/>
    <mergeCell ref="A8:C8"/>
    <mergeCell ref="D2:G2"/>
    <mergeCell ref="D7:G7"/>
    <mergeCell ref="D10:G10"/>
  </mergeCells>
  <conditionalFormatting sqref="C16:C39">
    <cfRule type="cellIs" dxfId="9" priority="4" stopIfTrue="1" operator="equal">
      <formula>"OK"</formula>
    </cfRule>
    <cfRule type="cellIs" dxfId="8" priority="5" stopIfTrue="1" operator="equal">
      <formula>"PARTIAL"</formula>
    </cfRule>
    <cfRule type="cellIs" dxfId="7" priority="6" stopIfTrue="1" operator="equal">
      <formula>"FLAG"</formula>
    </cfRule>
  </conditionalFormatting>
  <conditionalFormatting sqref="D7:G7">
    <cfRule type="containsText" dxfId="6" priority="1" operator="containsText" text="Healthy">
      <formula>NOT(ISERROR(SEARCH("Healthy",D7)))</formula>
    </cfRule>
    <cfRule type="containsText" dxfId="5" priority="2" operator="containsText" text="Needs Attention">
      <formula>NOT(ISERROR(SEARCH("Needs Attention",D7)))</formula>
    </cfRule>
    <cfRule type="containsText" dxfId="4" priority="3" operator="containsText" text="At Risk">
      <formula>NOT(ISERROR(SEARCH("At Risk",D7)))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20"/>
  <sheetViews>
    <sheetView tabSelected="1" topLeftCell="F1" workbookViewId="0">
      <pane ySplit="1" topLeftCell="A2" activePane="bottomLeft" state="frozen"/>
      <selection pane="bottomLeft" activeCell="J1" sqref="J1"/>
    </sheetView>
  </sheetViews>
  <sheetFormatPr defaultRowHeight="14.4" x14ac:dyDescent="0.3"/>
  <cols>
    <col min="1" max="1" width="22" style="13" customWidth="1"/>
    <col min="2" max="2" width="10.5546875" style="13" customWidth="1"/>
    <col min="3" max="3" width="30" style="13" customWidth="1"/>
    <col min="4" max="4" width="8.44140625" style="13" customWidth="1"/>
    <col min="5" max="5" width="38" style="27" customWidth="1"/>
    <col min="6" max="6" width="38" style="22" customWidth="1"/>
    <col min="7" max="7" width="42" style="22" customWidth="1"/>
    <col min="8" max="10" width="47.88671875" style="22" customWidth="1"/>
    <col min="11" max="11" width="13.5546875" customWidth="1"/>
    <col min="12" max="12" width="10" customWidth="1"/>
    <col min="13" max="13" width="11.6640625" customWidth="1"/>
    <col min="14" max="14" width="22" customWidth="1"/>
    <col min="15" max="15" width="39.44140625" customWidth="1"/>
  </cols>
  <sheetData>
    <row r="1" spans="1:15" ht="28.2" customHeight="1" thickBot="1" x14ac:dyDescent="0.35">
      <c r="A1" s="5" t="s">
        <v>8</v>
      </c>
      <c r="B1" s="28" t="s">
        <v>2</v>
      </c>
      <c r="C1" s="29" t="s">
        <v>3</v>
      </c>
      <c r="D1" s="29" t="s">
        <v>9</v>
      </c>
      <c r="E1" s="38" t="s">
        <v>10</v>
      </c>
      <c r="F1" s="29" t="s">
        <v>11</v>
      </c>
      <c r="G1" s="29" t="s">
        <v>12</v>
      </c>
      <c r="H1" s="30" t="s">
        <v>5</v>
      </c>
      <c r="I1" s="30" t="s">
        <v>6</v>
      </c>
      <c r="J1" s="30" t="s">
        <v>165</v>
      </c>
      <c r="K1" s="8" t="s">
        <v>13</v>
      </c>
      <c r="L1" s="8" t="s">
        <v>7</v>
      </c>
      <c r="M1" s="8" t="s">
        <v>14</v>
      </c>
      <c r="N1" s="8" t="s">
        <v>15</v>
      </c>
      <c r="O1" s="10" t="s">
        <v>16</v>
      </c>
    </row>
    <row r="2" spans="1:15" ht="36" customHeight="1" x14ac:dyDescent="0.3">
      <c r="A2" s="4" t="s">
        <v>84</v>
      </c>
      <c r="B2" s="4" t="s">
        <v>85</v>
      </c>
      <c r="C2" s="4" t="s">
        <v>86</v>
      </c>
      <c r="D2" s="4" t="s">
        <v>17</v>
      </c>
      <c r="E2" s="26" t="s">
        <v>87</v>
      </c>
      <c r="F2" s="3" t="s">
        <v>88</v>
      </c>
      <c r="G2" s="3" t="s">
        <v>64</v>
      </c>
      <c r="H2" s="3"/>
      <c r="I2" s="3"/>
      <c r="J2" s="3"/>
      <c r="K2" s="7" t="s">
        <v>65</v>
      </c>
      <c r="L2" s="6" t="str">
        <f>VLOOKUP(Table1[[#This Row],[Importance]],'Logic and Calculation'!$H$3:$J$12,3,FALSE)</f>
        <v>Medium</v>
      </c>
      <c r="M2" s="6">
        <v>5</v>
      </c>
      <c r="N2" s="4">
        <f>VLOOKUP(Table1[[#This Row],[Importance]],'Logic and Calculation'!$H$3:$J$12,2,FALSE)</f>
        <v>-15</v>
      </c>
      <c r="O2" s="11"/>
    </row>
    <row r="3" spans="1:15" ht="36" customHeight="1" x14ac:dyDescent="0.3">
      <c r="A3" s="4" t="s">
        <v>84</v>
      </c>
      <c r="B3" s="4" t="s">
        <v>89</v>
      </c>
      <c r="C3" s="4" t="s">
        <v>90</v>
      </c>
      <c r="D3" s="4" t="s">
        <v>17</v>
      </c>
      <c r="E3" s="31" t="s">
        <v>91</v>
      </c>
      <c r="F3" s="3" t="s">
        <v>92</v>
      </c>
      <c r="G3" s="3" t="s">
        <v>93</v>
      </c>
      <c r="H3" s="3"/>
      <c r="I3" s="3"/>
      <c r="J3" s="3"/>
      <c r="K3" s="3" t="s">
        <v>155</v>
      </c>
      <c r="L3" s="6" t="str">
        <f>VLOOKUP(Table1[[#This Row],[Importance]],'Logic and Calculation'!$H$3:$J$12,3,FALSE)</f>
        <v>High</v>
      </c>
      <c r="M3" s="4">
        <v>8</v>
      </c>
      <c r="N3" s="4">
        <f>VLOOKUP(Table1[[#This Row],[Importance]],'Logic and Calculation'!$H$3:$J$12,2,FALSE)</f>
        <v>-24</v>
      </c>
      <c r="O3" s="12"/>
    </row>
    <row r="4" spans="1:15" ht="36" customHeight="1" x14ac:dyDescent="0.3">
      <c r="A4" s="4" t="s">
        <v>84</v>
      </c>
      <c r="B4" s="4" t="s">
        <v>94</v>
      </c>
      <c r="C4" s="4" t="s">
        <v>95</v>
      </c>
      <c r="D4" s="4" t="s">
        <v>17</v>
      </c>
      <c r="E4" s="31" t="s">
        <v>96</v>
      </c>
      <c r="F4" s="3" t="s">
        <v>97</v>
      </c>
      <c r="G4" s="3" t="s">
        <v>98</v>
      </c>
      <c r="H4" s="3"/>
      <c r="I4" s="3"/>
      <c r="J4" s="3"/>
      <c r="K4" s="3" t="s">
        <v>66</v>
      </c>
      <c r="L4" s="6" t="str">
        <f>VLOOKUP(Table1[[#This Row],[Importance]],'Logic and Calculation'!$H$3:$J$12,3,FALSE)</f>
        <v>Critical</v>
      </c>
      <c r="M4" s="4">
        <v>10</v>
      </c>
      <c r="N4" s="4">
        <f>VLOOKUP(Table1[[#This Row],[Importance]],'Logic and Calculation'!$H$3:$J$12,2,FALSE)</f>
        <v>-30</v>
      </c>
      <c r="O4" s="12"/>
    </row>
    <row r="5" spans="1:15" ht="48" customHeight="1" x14ac:dyDescent="0.3">
      <c r="A5" s="4" t="s">
        <v>84</v>
      </c>
      <c r="B5" s="4" t="s">
        <v>99</v>
      </c>
      <c r="C5" s="4" t="s">
        <v>100</v>
      </c>
      <c r="D5" s="4" t="s">
        <v>17</v>
      </c>
      <c r="E5" s="31" t="s">
        <v>101</v>
      </c>
      <c r="F5" s="3" t="s">
        <v>102</v>
      </c>
      <c r="G5" s="3" t="s">
        <v>103</v>
      </c>
      <c r="H5" s="3"/>
      <c r="I5" s="3"/>
      <c r="J5" s="3"/>
      <c r="K5" s="3" t="s">
        <v>66</v>
      </c>
      <c r="L5" s="6" t="str">
        <f>VLOOKUP(Table1[[#This Row],[Importance]],'Logic and Calculation'!$H$3:$J$12,3,FALSE)</f>
        <v>Critical</v>
      </c>
      <c r="M5" s="4">
        <v>10</v>
      </c>
      <c r="N5" s="4">
        <f>VLOOKUP(Table1[[#This Row],[Importance]],'Logic and Calculation'!$H$3:$J$12,2,FALSE)</f>
        <v>-30</v>
      </c>
      <c r="O5" s="12"/>
    </row>
    <row r="6" spans="1:15" ht="36" customHeight="1" x14ac:dyDescent="0.3">
      <c r="A6" s="4" t="s">
        <v>84</v>
      </c>
      <c r="B6" s="4" t="s">
        <v>104</v>
      </c>
      <c r="C6" s="4" t="s">
        <v>105</v>
      </c>
      <c r="D6" s="4" t="s">
        <v>17</v>
      </c>
      <c r="E6" s="31" t="s">
        <v>106</v>
      </c>
      <c r="F6" s="3" t="s">
        <v>107</v>
      </c>
      <c r="G6" s="3" t="s">
        <v>67</v>
      </c>
      <c r="H6" s="3"/>
      <c r="I6" s="3"/>
      <c r="J6" s="3"/>
      <c r="K6" s="3" t="s">
        <v>66</v>
      </c>
      <c r="L6" s="6" t="str">
        <f>VLOOKUP(Table1[[#This Row],[Importance]],'Logic and Calculation'!$H$3:$J$12,3,FALSE)</f>
        <v>Critical</v>
      </c>
      <c r="M6" s="4">
        <v>10</v>
      </c>
      <c r="N6" s="4">
        <f>VLOOKUP(Table1[[#This Row],[Importance]],'Logic and Calculation'!$H$3:$J$12,2,FALSE)</f>
        <v>-30</v>
      </c>
      <c r="O6" s="12"/>
    </row>
    <row r="7" spans="1:15" ht="48" customHeight="1" x14ac:dyDescent="0.3">
      <c r="A7" s="4" t="s">
        <v>84</v>
      </c>
      <c r="B7" s="4" t="s">
        <v>108</v>
      </c>
      <c r="C7" s="4" t="s">
        <v>56</v>
      </c>
      <c r="D7" s="4" t="s">
        <v>17</v>
      </c>
      <c r="E7" s="31" t="s">
        <v>68</v>
      </c>
      <c r="F7" s="3" t="s">
        <v>109</v>
      </c>
      <c r="G7" s="3" t="s">
        <v>69</v>
      </c>
      <c r="H7" s="3"/>
      <c r="I7" s="3"/>
      <c r="J7" s="3"/>
      <c r="K7" s="3" t="s">
        <v>66</v>
      </c>
      <c r="L7" s="6" t="str">
        <f>VLOOKUP(Table1[[#This Row],[Importance]],'Logic and Calculation'!$H$3:$J$12,3,FALSE)</f>
        <v>Critical</v>
      </c>
      <c r="M7" s="4">
        <v>10</v>
      </c>
      <c r="N7" s="4">
        <f>VLOOKUP(Table1[[#This Row],[Importance]],'Logic and Calculation'!$H$3:$J$12,2,FALSE)</f>
        <v>-30</v>
      </c>
      <c r="O7" s="12"/>
    </row>
    <row r="8" spans="1:15" ht="36" customHeight="1" x14ac:dyDescent="0.3">
      <c r="A8" s="4" t="s">
        <v>84</v>
      </c>
      <c r="B8" s="4" t="s">
        <v>110</v>
      </c>
      <c r="C8" s="4" t="s">
        <v>111</v>
      </c>
      <c r="D8" s="4" t="s">
        <v>17</v>
      </c>
      <c r="E8" s="31" t="s">
        <v>70</v>
      </c>
      <c r="F8" s="3" t="s">
        <v>71</v>
      </c>
      <c r="G8" s="3" t="s">
        <v>112</v>
      </c>
      <c r="H8" s="3"/>
      <c r="I8" s="3"/>
      <c r="J8" s="3"/>
      <c r="K8" s="3" t="s">
        <v>72</v>
      </c>
      <c r="L8" s="6" t="str">
        <f>VLOOKUP(Table1[[#This Row],[Importance]],'Logic and Calculation'!$H$3:$J$12,3,FALSE)</f>
        <v>Medium</v>
      </c>
      <c r="M8" s="4">
        <v>7</v>
      </c>
      <c r="N8" s="4">
        <f>VLOOKUP(Table1[[#This Row],[Importance]],'Logic and Calculation'!$H$3:$J$12,2,FALSE)</f>
        <v>-21</v>
      </c>
      <c r="O8" s="12"/>
    </row>
    <row r="9" spans="1:15" ht="24" customHeight="1" x14ac:dyDescent="0.3">
      <c r="A9" s="4" t="s">
        <v>84</v>
      </c>
      <c r="B9" s="4" t="s">
        <v>113</v>
      </c>
      <c r="C9" s="4" t="s">
        <v>57</v>
      </c>
      <c r="D9" s="4" t="s">
        <v>17</v>
      </c>
      <c r="E9" s="31" t="s">
        <v>114</v>
      </c>
      <c r="F9" s="3" t="s">
        <v>73</v>
      </c>
      <c r="G9" s="3" t="s">
        <v>74</v>
      </c>
      <c r="H9" s="3"/>
      <c r="I9" s="3"/>
      <c r="J9" s="3"/>
      <c r="K9" s="3" t="s">
        <v>66</v>
      </c>
      <c r="L9" s="6" t="str">
        <f>VLOOKUP(Table1[[#This Row],[Importance]],'Logic and Calculation'!$H$3:$J$12,3,FALSE)</f>
        <v>Visibility</v>
      </c>
      <c r="M9" s="4">
        <v>1</v>
      </c>
      <c r="N9" s="4">
        <f>VLOOKUP(Table1[[#This Row],[Importance]],'Logic and Calculation'!$H$3:$J$12,2,FALSE)</f>
        <v>0</v>
      </c>
      <c r="O9" s="12"/>
    </row>
    <row r="10" spans="1:15" ht="48" customHeight="1" x14ac:dyDescent="0.3">
      <c r="A10" s="4" t="s">
        <v>84</v>
      </c>
      <c r="B10" s="4" t="s">
        <v>115</v>
      </c>
      <c r="C10" s="4" t="s">
        <v>116</v>
      </c>
      <c r="D10" s="4" t="s">
        <v>17</v>
      </c>
      <c r="E10" s="31" t="s">
        <v>117</v>
      </c>
      <c r="F10" s="3" t="s">
        <v>118</v>
      </c>
      <c r="G10" s="3" t="s">
        <v>119</v>
      </c>
      <c r="H10" s="3"/>
      <c r="I10" s="3"/>
      <c r="J10" s="3"/>
      <c r="K10" s="3" t="s">
        <v>83</v>
      </c>
      <c r="L10" s="6" t="str">
        <f>VLOOKUP(Table1[[#This Row],[Importance]],'Logic and Calculation'!$H$3:$J$12,3,FALSE)</f>
        <v>Visibility</v>
      </c>
      <c r="M10" s="4">
        <v>1</v>
      </c>
      <c r="N10" s="4">
        <f>VLOOKUP(Table1[[#This Row],[Importance]],'Logic and Calculation'!$H$3:$J$12,2,FALSE)</f>
        <v>0</v>
      </c>
      <c r="O10" s="12"/>
    </row>
    <row r="11" spans="1:15" ht="36" customHeight="1" x14ac:dyDescent="0.3">
      <c r="A11" s="4" t="s">
        <v>58</v>
      </c>
      <c r="B11" s="4" t="s">
        <v>156</v>
      </c>
      <c r="C11" s="4" t="s">
        <v>59</v>
      </c>
      <c r="D11" s="4" t="s">
        <v>17</v>
      </c>
      <c r="E11" s="31" t="s">
        <v>121</v>
      </c>
      <c r="F11" s="3" t="s">
        <v>76</v>
      </c>
      <c r="G11" s="3" t="s">
        <v>77</v>
      </c>
      <c r="H11" s="3"/>
      <c r="I11" s="3"/>
      <c r="J11" s="3"/>
      <c r="K11" s="3" t="s">
        <v>75</v>
      </c>
      <c r="L11" s="6" t="str">
        <f>VLOOKUP(Table1[[#This Row],[Importance]],'Logic and Calculation'!$H$3:$J$12,3,FALSE)</f>
        <v>Visibility</v>
      </c>
      <c r="M11" s="4">
        <v>1</v>
      </c>
      <c r="N11" s="4">
        <f>VLOOKUP(Table1[[#This Row],[Importance]],'Logic and Calculation'!$H$3:$J$12,2,FALSE)</f>
        <v>0</v>
      </c>
      <c r="O11" s="12"/>
    </row>
    <row r="12" spans="1:15" ht="60" customHeight="1" x14ac:dyDescent="0.3">
      <c r="A12" s="4" t="s">
        <v>58</v>
      </c>
      <c r="B12" s="4" t="s">
        <v>157</v>
      </c>
      <c r="C12" s="4" t="s">
        <v>123</v>
      </c>
      <c r="D12" s="4" t="s">
        <v>17</v>
      </c>
      <c r="E12" s="31" t="s">
        <v>124</v>
      </c>
      <c r="F12" s="3" t="s">
        <v>125</v>
      </c>
      <c r="G12" s="3" t="s">
        <v>126</v>
      </c>
      <c r="H12" s="3"/>
      <c r="I12" s="3"/>
      <c r="J12" s="3"/>
      <c r="K12" s="3" t="s">
        <v>75</v>
      </c>
      <c r="L12" s="6" t="str">
        <f>VLOOKUP(Table1[[#This Row],[Importance]],'Logic and Calculation'!$H$3:$J$12,3,FALSE)</f>
        <v>Visibility</v>
      </c>
      <c r="M12" s="4">
        <v>1</v>
      </c>
      <c r="N12" s="4">
        <f>VLOOKUP(Table1[[#This Row],[Importance]],'Logic and Calculation'!$H$3:$J$12,2,FALSE)</f>
        <v>0</v>
      </c>
      <c r="O12" s="12"/>
    </row>
    <row r="13" spans="1:15" ht="60" customHeight="1" x14ac:dyDescent="0.3">
      <c r="A13" s="4" t="s">
        <v>61</v>
      </c>
      <c r="B13" s="4" t="s">
        <v>158</v>
      </c>
      <c r="C13" s="4" t="s">
        <v>127</v>
      </c>
      <c r="D13" s="4" t="s">
        <v>17</v>
      </c>
      <c r="E13" s="31" t="s">
        <v>128</v>
      </c>
      <c r="F13" s="3" t="s">
        <v>129</v>
      </c>
      <c r="G13" s="3" t="s">
        <v>130</v>
      </c>
      <c r="H13" s="3"/>
      <c r="I13" s="3"/>
      <c r="J13" s="3"/>
      <c r="K13" s="3" t="s">
        <v>80</v>
      </c>
      <c r="L13" s="6" t="str">
        <f>VLOOKUP(Table1[[#This Row],[Importance]],'Logic and Calculation'!$H$3:$J$12,3,FALSE)</f>
        <v>Visibility</v>
      </c>
      <c r="M13" s="4">
        <v>1</v>
      </c>
      <c r="N13" s="4">
        <f>VLOOKUP(Table1[[#This Row],[Importance]],'Logic and Calculation'!$H$3:$J$12,2,FALSE)</f>
        <v>0</v>
      </c>
      <c r="O13" s="12"/>
    </row>
    <row r="14" spans="1:15" ht="48" customHeight="1" x14ac:dyDescent="0.3">
      <c r="A14" s="4" t="s">
        <v>61</v>
      </c>
      <c r="B14" s="4" t="s">
        <v>159</v>
      </c>
      <c r="C14" s="4" t="s">
        <v>131</v>
      </c>
      <c r="D14" s="4" t="s">
        <v>17</v>
      </c>
      <c r="E14" s="31" t="s">
        <v>132</v>
      </c>
      <c r="F14" s="3" t="s">
        <v>133</v>
      </c>
      <c r="G14" s="3" t="s">
        <v>134</v>
      </c>
      <c r="H14" s="3"/>
      <c r="I14" s="3"/>
      <c r="J14" s="3"/>
      <c r="K14" s="3" t="s">
        <v>80</v>
      </c>
      <c r="L14" s="6" t="str">
        <f>VLOOKUP(Table1[[#This Row],[Importance]],'Logic and Calculation'!$H$3:$J$12,3,FALSE)</f>
        <v>High</v>
      </c>
      <c r="M14" s="4">
        <v>8</v>
      </c>
      <c r="N14" s="4">
        <f>VLOOKUP(Table1[[#This Row],[Importance]],'Logic and Calculation'!$H$3:$J$12,2,FALSE)</f>
        <v>-24</v>
      </c>
      <c r="O14" s="12"/>
    </row>
    <row r="15" spans="1:15" ht="24" customHeight="1" x14ac:dyDescent="0.3">
      <c r="A15" s="4" t="s">
        <v>61</v>
      </c>
      <c r="B15" s="4" t="s">
        <v>160</v>
      </c>
      <c r="C15" s="4" t="s">
        <v>135</v>
      </c>
      <c r="D15" s="4" t="s">
        <v>17</v>
      </c>
      <c r="E15" s="31" t="s">
        <v>136</v>
      </c>
      <c r="F15" s="3" t="s">
        <v>137</v>
      </c>
      <c r="G15" s="3" t="s">
        <v>138</v>
      </c>
      <c r="H15" s="3"/>
      <c r="I15" s="3"/>
      <c r="J15" s="3"/>
      <c r="K15" s="3" t="s">
        <v>80</v>
      </c>
      <c r="L15" s="6" t="str">
        <f>VLOOKUP(Table1[[#This Row],[Importance]],'Logic and Calculation'!$H$3:$J$12,3,FALSE)</f>
        <v>Visibility</v>
      </c>
      <c r="M15" s="4">
        <v>1</v>
      </c>
      <c r="N15" s="4">
        <f>VLOOKUP(Table1[[#This Row],[Importance]],'Logic and Calculation'!$H$3:$J$12,2,FALSE)</f>
        <v>0</v>
      </c>
      <c r="O15" s="12"/>
    </row>
    <row r="16" spans="1:15" ht="24" customHeight="1" x14ac:dyDescent="0.3">
      <c r="A16" s="4" t="s">
        <v>61</v>
      </c>
      <c r="B16" s="4" t="s">
        <v>161</v>
      </c>
      <c r="C16" s="4" t="s">
        <v>139</v>
      </c>
      <c r="D16" s="4" t="s">
        <v>17</v>
      </c>
      <c r="E16" s="31" t="s">
        <v>140</v>
      </c>
      <c r="F16" s="3" t="s">
        <v>141</v>
      </c>
      <c r="G16" s="3" t="s">
        <v>142</v>
      </c>
      <c r="H16" s="3"/>
      <c r="I16" s="3"/>
      <c r="J16" s="3"/>
      <c r="K16" s="3" t="s">
        <v>79</v>
      </c>
      <c r="L16" s="6" t="str">
        <f>VLOOKUP(Table1[[#This Row],[Importance]],'Logic and Calculation'!$H$3:$J$12,3,FALSE)</f>
        <v>Visibility</v>
      </c>
      <c r="M16" s="4">
        <v>1</v>
      </c>
      <c r="N16" s="4">
        <f>VLOOKUP(Table1[[#This Row],[Importance]],'Logic and Calculation'!$H$3:$J$12,2,FALSE)</f>
        <v>0</v>
      </c>
      <c r="O16" s="12"/>
    </row>
    <row r="17" spans="1:15" ht="24" customHeight="1" x14ac:dyDescent="0.3">
      <c r="A17" s="4" t="s">
        <v>61</v>
      </c>
      <c r="B17" s="4" t="s">
        <v>162</v>
      </c>
      <c r="C17" s="4" t="s">
        <v>143</v>
      </c>
      <c r="D17" s="4" t="s">
        <v>17</v>
      </c>
      <c r="E17" s="31" t="s">
        <v>144</v>
      </c>
      <c r="F17" s="3" t="s">
        <v>145</v>
      </c>
      <c r="G17" s="3" t="s">
        <v>146</v>
      </c>
      <c r="H17" s="3"/>
      <c r="I17" s="3"/>
      <c r="J17" s="3"/>
      <c r="K17" s="3" t="s">
        <v>79</v>
      </c>
      <c r="L17" s="6" t="str">
        <f>VLOOKUP(Table1[[#This Row],[Importance]],'Logic and Calculation'!$H$3:$J$12,3,FALSE)</f>
        <v>Visibility</v>
      </c>
      <c r="M17" s="4">
        <v>1</v>
      </c>
      <c r="N17" s="4">
        <f>VLOOKUP(Table1[[#This Row],[Importance]],'Logic and Calculation'!$H$3:$J$12,2,FALSE)</f>
        <v>0</v>
      </c>
      <c r="O17" s="12"/>
    </row>
    <row r="18" spans="1:15" ht="24" customHeight="1" x14ac:dyDescent="0.3">
      <c r="A18" s="4" t="s">
        <v>61</v>
      </c>
      <c r="B18" s="4" t="s">
        <v>163</v>
      </c>
      <c r="C18" s="4" t="s">
        <v>62</v>
      </c>
      <c r="D18" s="4" t="s">
        <v>17</v>
      </c>
      <c r="E18" s="31" t="s">
        <v>147</v>
      </c>
      <c r="F18" s="3" t="s">
        <v>148</v>
      </c>
      <c r="G18" s="3" t="s">
        <v>149</v>
      </c>
      <c r="H18" s="3"/>
      <c r="I18" s="3"/>
      <c r="J18" s="3"/>
      <c r="K18" s="3" t="s">
        <v>79</v>
      </c>
      <c r="L18" s="6" t="str">
        <f>VLOOKUP(Table1[[#This Row],[Importance]],'Logic and Calculation'!$H$3:$J$12,3,FALSE)</f>
        <v>Visibility</v>
      </c>
      <c r="M18" s="4">
        <v>1</v>
      </c>
      <c r="N18" s="4">
        <f>VLOOKUP(Table1[[#This Row],[Importance]],'Logic and Calculation'!$H$3:$J$12,2,FALSE)</f>
        <v>0</v>
      </c>
      <c r="O18" s="12"/>
    </row>
    <row r="19" spans="1:15" ht="36" customHeight="1" x14ac:dyDescent="0.3">
      <c r="A19" s="4" t="s">
        <v>61</v>
      </c>
      <c r="B19" s="4" t="s">
        <v>120</v>
      </c>
      <c r="C19" s="4" t="s">
        <v>63</v>
      </c>
      <c r="D19" s="4" t="s">
        <v>17</v>
      </c>
      <c r="E19" s="26" t="s">
        <v>150</v>
      </c>
      <c r="F19" s="3" t="s">
        <v>151</v>
      </c>
      <c r="G19" s="3" t="s">
        <v>81</v>
      </c>
      <c r="H19" s="3"/>
      <c r="I19" s="3"/>
      <c r="J19" s="3"/>
      <c r="K19" s="3" t="s">
        <v>82</v>
      </c>
      <c r="L19" s="6" t="str">
        <f>VLOOKUP(Table1[[#This Row],[Importance]],'Logic and Calculation'!$H$3:$J$12,3,FALSE)</f>
        <v>Visibility</v>
      </c>
      <c r="M19" s="4">
        <v>1</v>
      </c>
      <c r="N19" s="4">
        <f>VLOOKUP(Table1[[#This Row],[Importance]],'Logic and Calculation'!$H$3:$J$12,2,FALSE)</f>
        <v>0</v>
      </c>
      <c r="O19" s="12"/>
    </row>
    <row r="20" spans="1:15" ht="36" x14ac:dyDescent="0.3">
      <c r="A20" s="4" t="s">
        <v>152</v>
      </c>
      <c r="B20" s="4" t="s">
        <v>122</v>
      </c>
      <c r="C20" s="4" t="s">
        <v>60</v>
      </c>
      <c r="D20" s="4" t="s">
        <v>17</v>
      </c>
      <c r="E20" s="26" t="s">
        <v>153</v>
      </c>
      <c r="F20" s="3" t="s">
        <v>78</v>
      </c>
      <c r="G20" s="3" t="s">
        <v>154</v>
      </c>
      <c r="H20" s="3"/>
      <c r="I20" s="3"/>
      <c r="J20" s="3"/>
      <c r="K20" s="3" t="s">
        <v>55</v>
      </c>
      <c r="L20" s="6" t="str">
        <f>VLOOKUP(Table1[[#This Row],[Importance]],'Logic and Calculation'!$H$3:$J$12,3,FALSE)</f>
        <v>Visibility</v>
      </c>
      <c r="M20" s="4">
        <v>1</v>
      </c>
      <c r="N20" s="4">
        <f>VLOOKUP(Table1[[#This Row],[Importance]],'Logic and Calculation'!$H$3:$J$12,2,FALSE)</f>
        <v>0</v>
      </c>
      <c r="O20" s="12"/>
    </row>
  </sheetData>
  <phoneticPr fontId="14" type="noConversion"/>
  <conditionalFormatting sqref="D2:D20">
    <cfRule type="cellIs" dxfId="3" priority="4" stopIfTrue="1" operator="equal">
      <formula>"OK"</formula>
    </cfRule>
    <cfRule type="cellIs" dxfId="2" priority="5" stopIfTrue="1" operator="equal">
      <formula>"PARTIAL"</formula>
    </cfRule>
    <cfRule type="cellIs" dxfId="1" priority="6" stopIfTrue="1" operator="equal">
      <formula>"FLAG"</formula>
    </cfRule>
  </conditionalFormatting>
  <dataValidations count="1">
    <dataValidation type="list" allowBlank="1" sqref="D2:D20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26"/>
  <sheetViews>
    <sheetView workbookViewId="0">
      <pane ySplit="7" topLeftCell="A8" activePane="bottomLeft" state="frozen"/>
      <selection pane="bottomLeft" activeCell="J23" sqref="J23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2</v>
      </c>
      <c r="B1" s="2" t="s">
        <v>8</v>
      </c>
      <c r="C1" s="2" t="s">
        <v>3</v>
      </c>
      <c r="D1" s="2" t="s">
        <v>9</v>
      </c>
      <c r="E1" s="2" t="s">
        <v>15</v>
      </c>
      <c r="F1" s="2" t="s">
        <v>19</v>
      </c>
    </row>
    <row r="2" spans="1:13" x14ac:dyDescent="0.3">
      <c r="A2" t="s">
        <v>20</v>
      </c>
      <c r="B2">
        <v>100</v>
      </c>
      <c r="D2" t="s">
        <v>21</v>
      </c>
      <c r="H2" s="9" t="s">
        <v>14</v>
      </c>
      <c r="I2" s="9" t="s">
        <v>22</v>
      </c>
      <c r="J2" s="9" t="s">
        <v>23</v>
      </c>
      <c r="L2" s="20" t="s">
        <v>49</v>
      </c>
      <c r="M2" s="20" t="s">
        <v>24</v>
      </c>
    </row>
    <row r="3" spans="1:13" x14ac:dyDescent="0.3">
      <c r="A3" t="s">
        <v>25</v>
      </c>
      <c r="B3">
        <f>SUM(F8:F960)</f>
        <v>0</v>
      </c>
      <c r="D3" t="s">
        <v>46</v>
      </c>
      <c r="H3">
        <v>10</v>
      </c>
      <c r="I3" s="39">
        <v>-30</v>
      </c>
      <c r="J3" t="s">
        <v>26</v>
      </c>
      <c r="L3" t="s">
        <v>45</v>
      </c>
      <c r="M3" t="s">
        <v>40</v>
      </c>
    </row>
    <row r="4" spans="1:13" x14ac:dyDescent="0.3">
      <c r="A4" t="s">
        <v>27</v>
      </c>
      <c r="B4">
        <f>B2+B3</f>
        <v>100</v>
      </c>
      <c r="D4" t="s">
        <v>47</v>
      </c>
      <c r="H4">
        <v>9</v>
      </c>
      <c r="I4" s="39">
        <v>-27</v>
      </c>
      <c r="J4" t="s">
        <v>28</v>
      </c>
      <c r="L4" t="s">
        <v>44</v>
      </c>
      <c r="M4" t="s">
        <v>41</v>
      </c>
    </row>
    <row r="5" spans="1:13" x14ac:dyDescent="0.3">
      <c r="A5" t="s">
        <v>54</v>
      </c>
      <c r="B5" t="str">
        <f>IF(B4&gt;=75,"Healthy",IF(AND(B4&lt;=74,B4&gt;=40),"Needs Attention","At Risk"))</f>
        <v>Healthy</v>
      </c>
      <c r="D5" t="s">
        <v>48</v>
      </c>
      <c r="H5">
        <v>8</v>
      </c>
      <c r="I5" s="39">
        <v>-24</v>
      </c>
      <c r="J5" t="s">
        <v>28</v>
      </c>
      <c r="L5" t="s">
        <v>43</v>
      </c>
      <c r="M5" t="s">
        <v>42</v>
      </c>
    </row>
    <row r="6" spans="1:13" x14ac:dyDescent="0.3">
      <c r="A6" t="s">
        <v>29</v>
      </c>
      <c r="B6" t="s">
        <v>30</v>
      </c>
      <c r="H6">
        <v>7</v>
      </c>
      <c r="I6" s="39">
        <v>-21</v>
      </c>
      <c r="J6" t="s">
        <v>18</v>
      </c>
    </row>
    <row r="7" spans="1:13" x14ac:dyDescent="0.3">
      <c r="H7">
        <v>6</v>
      </c>
      <c r="I7" s="39">
        <v>-18</v>
      </c>
      <c r="J7" t="s">
        <v>18</v>
      </c>
    </row>
    <row r="8" spans="1:13" x14ac:dyDescent="0.3">
      <c r="A8" t="str">
        <f>'Account Health_Reference'!B2</f>
        <v>WM-H001</v>
      </c>
      <c r="B8" t="str">
        <f>'Account Health_Reference'!A2</f>
        <v>Core KPIs</v>
      </c>
      <c r="C8" t="str">
        <f>'Account Health_Reference'!C2</f>
        <v>ACoS vs Project</v>
      </c>
      <c r="D8" t="str">
        <f>'Account Health_Reference'!D2</f>
        <v>OK</v>
      </c>
      <c r="E8">
        <f>'Account Health_Reference'!N2</f>
        <v>-15</v>
      </c>
      <c r="F8">
        <f t="shared" ref="F8:F25" si="0">IF(D8="FLAG",E8,IF(D8="PARTIAL",E8*0.5,0))</f>
        <v>0</v>
      </c>
      <c r="H8">
        <v>5</v>
      </c>
      <c r="I8" s="39">
        <v>-15</v>
      </c>
      <c r="J8" t="s">
        <v>18</v>
      </c>
    </row>
    <row r="9" spans="1:13" x14ac:dyDescent="0.3">
      <c r="A9" t="str">
        <f>'Account Health_Reference'!B3</f>
        <v>WM-H002</v>
      </c>
      <c r="B9" t="str">
        <f>'Account Health_Reference'!A3</f>
        <v>Core KPIs</v>
      </c>
      <c r="C9" t="str">
        <f>'Account Health_Reference'!C3</f>
        <v>TACoS vs Project</v>
      </c>
      <c r="D9" t="str">
        <f>'Account Health_Reference'!D3</f>
        <v>OK</v>
      </c>
      <c r="E9">
        <f>'Account Health_Reference'!N3</f>
        <v>-24</v>
      </c>
      <c r="F9">
        <f t="shared" si="0"/>
        <v>0</v>
      </c>
      <c r="H9">
        <v>4</v>
      </c>
      <c r="I9" s="39">
        <v>-12</v>
      </c>
      <c r="J9" t="s">
        <v>31</v>
      </c>
    </row>
    <row r="10" spans="1:13" x14ac:dyDescent="0.3">
      <c r="A10" t="str">
        <f>'Account Health_Reference'!B4</f>
        <v>WM-H003</v>
      </c>
      <c r="B10" t="str">
        <f>'Account Health_Reference'!A4</f>
        <v>Core KPIs</v>
      </c>
      <c r="C10" t="str">
        <f>'Account Health_Reference'!C4</f>
        <v>ROAS Trend (L30 vs Prev30)</v>
      </c>
      <c r="D10" t="str">
        <f>'Account Health_Reference'!D4</f>
        <v>OK</v>
      </c>
      <c r="E10">
        <f>'Account Health_Reference'!N4</f>
        <v>-30</v>
      </c>
      <c r="F10">
        <f t="shared" si="0"/>
        <v>0</v>
      </c>
      <c r="H10">
        <v>3</v>
      </c>
      <c r="I10" s="39">
        <v>-9</v>
      </c>
      <c r="J10" t="s">
        <v>31</v>
      </c>
    </row>
    <row r="11" spans="1:13" x14ac:dyDescent="0.3">
      <c r="A11" t="str">
        <f>'Account Health_Reference'!B5</f>
        <v>WM-H004</v>
      </c>
      <c r="B11" t="str">
        <f>'Account Health_Reference'!A5</f>
        <v>Core KPIs</v>
      </c>
      <c r="C11" t="str">
        <f>'Account Health_Reference'!C5</f>
        <v>Sales Trend</v>
      </c>
      <c r="D11" t="str">
        <f>'Account Health_Reference'!D5</f>
        <v>OK</v>
      </c>
      <c r="E11">
        <f>'Account Health_Reference'!N5</f>
        <v>-30</v>
      </c>
      <c r="F11">
        <f t="shared" si="0"/>
        <v>0</v>
      </c>
      <c r="H11">
        <v>2</v>
      </c>
      <c r="I11" s="39">
        <v>-6</v>
      </c>
      <c r="J11" t="s">
        <v>32</v>
      </c>
    </row>
    <row r="12" spans="1:13" x14ac:dyDescent="0.3">
      <c r="A12" t="str">
        <f>'Account Health_Reference'!B6</f>
        <v>WM-H005</v>
      </c>
      <c r="B12" t="str">
        <f>'Account Health_Reference'!A6</f>
        <v>Core KPIs</v>
      </c>
      <c r="C12" t="str">
        <f>'Account Health_Reference'!C6</f>
        <v>Ad Sales vs Total Sales Ratio (Paid Dependency)</v>
      </c>
      <c r="D12" t="str">
        <f>'Account Health_Reference'!D6</f>
        <v>OK</v>
      </c>
      <c r="E12">
        <f>'Account Health_Reference'!N6</f>
        <v>-30</v>
      </c>
      <c r="F12">
        <f t="shared" si="0"/>
        <v>0</v>
      </c>
      <c r="H12">
        <v>1</v>
      </c>
      <c r="I12" s="39">
        <v>0</v>
      </c>
      <c r="J12" t="s">
        <v>32</v>
      </c>
    </row>
    <row r="13" spans="1:13" x14ac:dyDescent="0.3">
      <c r="A13" t="str">
        <f>'Account Health_Reference'!B7</f>
        <v>WM-H006</v>
      </c>
      <c r="B13" t="str">
        <f>'Account Health_Reference'!A7</f>
        <v>Core KPIs</v>
      </c>
      <c r="C13" t="str">
        <f>'Account Health_Reference'!C7</f>
        <v>CTR Performance</v>
      </c>
      <c r="D13" t="str">
        <f>'Account Health_Reference'!D7</f>
        <v>OK</v>
      </c>
      <c r="E13">
        <f>'Account Health_Reference'!N7</f>
        <v>-30</v>
      </c>
      <c r="F13">
        <f t="shared" si="0"/>
        <v>0</v>
      </c>
    </row>
    <row r="14" spans="1:13" x14ac:dyDescent="0.3">
      <c r="A14" t="str">
        <f>'Account Health_Reference'!B8</f>
        <v>WM-H007</v>
      </c>
      <c r="B14" t="str">
        <f>'Account Health_Reference'!A8</f>
        <v>Core KPIs</v>
      </c>
      <c r="C14" t="str">
        <f>'Account Health_Reference'!C8</f>
        <v>CVR Health</v>
      </c>
      <c r="D14" t="str">
        <f>'Account Health_Reference'!D8</f>
        <v>OK</v>
      </c>
      <c r="E14">
        <f>'Account Health_Reference'!N8</f>
        <v>-21</v>
      </c>
      <c r="F14">
        <f t="shared" si="0"/>
        <v>0</v>
      </c>
    </row>
    <row r="15" spans="1:13" x14ac:dyDescent="0.3">
      <c r="A15" t="str">
        <f>'Account Health_Reference'!B9</f>
        <v>WM-H008</v>
      </c>
      <c r="B15" t="str">
        <f>'Account Health_Reference'!A9</f>
        <v>Core KPIs</v>
      </c>
      <c r="C15" t="str">
        <f>'Account Health_Reference'!C9</f>
        <v>CPC Trend</v>
      </c>
      <c r="D15" t="str">
        <f>'Account Health_Reference'!D9</f>
        <v>OK</v>
      </c>
      <c r="E15">
        <f>'Account Health_Reference'!N9</f>
        <v>0</v>
      </c>
      <c r="F15">
        <f t="shared" si="0"/>
        <v>0</v>
      </c>
    </row>
    <row r="16" spans="1:13" x14ac:dyDescent="0.3">
      <c r="A16" t="str">
        <f>'Account Health_Reference'!B10</f>
        <v>WM-H009</v>
      </c>
      <c r="B16" t="str">
        <f>'Account Health_Reference'!A10</f>
        <v>Core KPIs</v>
      </c>
      <c r="C16" t="str">
        <f>'Account Health_Reference'!C10</f>
        <v>YoY Sales &amp; Spend Trajectory</v>
      </c>
      <c r="D16" t="str">
        <f>'Account Health_Reference'!D10</f>
        <v>OK</v>
      </c>
      <c r="E16">
        <f>'Account Health_Reference'!N10</f>
        <v>0</v>
      </c>
      <c r="F16">
        <f t="shared" si="0"/>
        <v>0</v>
      </c>
    </row>
    <row r="17" spans="1:6" x14ac:dyDescent="0.3">
      <c r="A17" t="str">
        <f>'Account Health_Reference'!B11</f>
        <v>WM-H010</v>
      </c>
      <c r="B17" t="str">
        <f>'Account Health_Reference'!A11</f>
        <v>Keyword Health</v>
      </c>
      <c r="C17" t="str">
        <f>'Account Health_Reference'!C11</f>
        <v>High-Spend Zero-Order Keywords</v>
      </c>
      <c r="D17" t="str">
        <f>'Account Health_Reference'!D11</f>
        <v>OK</v>
      </c>
      <c r="E17">
        <f>'Account Health_Reference'!N11</f>
        <v>0</v>
      </c>
      <c r="F17">
        <f t="shared" si="0"/>
        <v>0</v>
      </c>
    </row>
    <row r="18" spans="1:6" x14ac:dyDescent="0.3">
      <c r="A18" t="str">
        <f>'Account Health_Reference'!B12</f>
        <v>WM-H011</v>
      </c>
      <c r="B18" t="str">
        <f>'Account Health_Reference'!A12</f>
        <v>Keyword Health</v>
      </c>
      <c r="C18" t="str">
        <f>'Account Health_Reference'!C12</f>
        <v>Match Type ACoS Floor (No Type &gt; 100%)</v>
      </c>
      <c r="D18" t="str">
        <f>'Account Health_Reference'!D12</f>
        <v>OK</v>
      </c>
      <c r="E18">
        <f>'Account Health_Reference'!N12</f>
        <v>0</v>
      </c>
      <c r="F18">
        <f t="shared" si="0"/>
        <v>0</v>
      </c>
    </row>
    <row r="19" spans="1:6" x14ac:dyDescent="0.3">
      <c r="A19" t="str">
        <f>'Account Health_Reference'!B13</f>
        <v>WM-H012</v>
      </c>
      <c r="B19" t="str">
        <f>'Account Health_Reference'!A13</f>
        <v>Marketplace Health</v>
      </c>
      <c r="C19" t="str">
        <f>'Account Health_Reference'!C13</f>
        <v>Product Rating Health</v>
      </c>
      <c r="D19" t="str">
        <f>'Account Health_Reference'!D13</f>
        <v>OK</v>
      </c>
      <c r="E19">
        <f>'Account Health_Reference'!N13</f>
        <v>0</v>
      </c>
      <c r="F19">
        <f t="shared" si="0"/>
        <v>0</v>
      </c>
    </row>
    <row r="20" spans="1:6" x14ac:dyDescent="0.3">
      <c r="A20" t="str">
        <f>'Account Health_Reference'!B14</f>
        <v>WM-H013</v>
      </c>
      <c r="B20" t="str">
        <f>'Account Health_Reference'!A14</f>
        <v>Marketplace Health</v>
      </c>
      <c r="C20" t="str">
        <f>'Account Health_Reference'!C14</f>
        <v>Product Review Floor</v>
      </c>
      <c r="D20" t="str">
        <f>'Account Health_Reference'!D14</f>
        <v>OK</v>
      </c>
      <c r="E20">
        <f>'Account Health_Reference'!N14</f>
        <v>-24</v>
      </c>
      <c r="F20">
        <f t="shared" si="0"/>
        <v>0</v>
      </c>
    </row>
    <row r="21" spans="1:6" x14ac:dyDescent="0.3">
      <c r="A21" t="str">
        <f>'Account Health_Reference'!B15</f>
        <v>WM-H014</v>
      </c>
      <c r="B21" t="str">
        <f>'Account Health_Reference'!A15</f>
        <v>Marketplace Health</v>
      </c>
      <c r="C21" t="str">
        <f>'Account Health_Reference'!C15</f>
        <v>Buybox Pricing Competitiveness</v>
      </c>
      <c r="D21" t="str">
        <f>'Account Health_Reference'!D15</f>
        <v>OK</v>
      </c>
      <c r="E21">
        <f>'Account Health_Reference'!N15</f>
        <v>0</v>
      </c>
      <c r="F21">
        <f t="shared" si="0"/>
        <v>0</v>
      </c>
    </row>
    <row r="22" spans="1:6" x14ac:dyDescent="0.3">
      <c r="A22" t="str">
        <f>'Account Health_Reference'!B16</f>
        <v>WM-H015</v>
      </c>
      <c r="B22" t="str">
        <f>'Account Health_Reference'!A16</f>
        <v>Marketplace Health</v>
      </c>
      <c r="C22" t="str">
        <f>'Account Health_Reference'!C16</f>
        <v>Marketplace Order Cancellation Rate</v>
      </c>
      <c r="D22" t="str">
        <f>'Account Health_Reference'!D16</f>
        <v>OK</v>
      </c>
      <c r="E22">
        <f>'Account Health_Reference'!N16</f>
        <v>0</v>
      </c>
      <c r="F22">
        <f t="shared" si="0"/>
        <v>0</v>
      </c>
    </row>
    <row r="23" spans="1:6" x14ac:dyDescent="0.3">
      <c r="A23" t="str">
        <f>'Account Health_Reference'!B17</f>
        <v>WM-H016</v>
      </c>
      <c r="B23" t="str">
        <f>'Account Health_Reference'!A17</f>
        <v>Marketplace Health</v>
      </c>
      <c r="C23" t="str">
        <f>'Account Health_Reference'!C17</f>
        <v>2-Day Shipping Rate</v>
      </c>
      <c r="D23" t="str">
        <f>'Account Health_Reference'!D17</f>
        <v>OK</v>
      </c>
      <c r="E23">
        <f>'Account Health_Reference'!N17</f>
        <v>0</v>
      </c>
      <c r="F23">
        <f t="shared" si="0"/>
        <v>0</v>
      </c>
    </row>
    <row r="24" spans="1:6" x14ac:dyDescent="0.3">
      <c r="A24" t="str">
        <f>'Account Health_Reference'!B18</f>
        <v>WM-H017</v>
      </c>
      <c r="B24" t="str">
        <f>'Account Health_Reference'!A18</f>
        <v>Marketplace Health</v>
      </c>
      <c r="C24" t="str">
        <f>'Account Health_Reference'!C18</f>
        <v>Refund Rate on Marketplace Orders</v>
      </c>
      <c r="D24" t="str">
        <f>'Account Health_Reference'!D18</f>
        <v>OK</v>
      </c>
      <c r="E24">
        <f>'Account Health_Reference'!N18</f>
        <v>0</v>
      </c>
      <c r="F24">
        <f t="shared" si="0"/>
        <v>0</v>
      </c>
    </row>
    <row r="25" spans="1:6" x14ac:dyDescent="0.3">
      <c r="A25" t="str">
        <f>'Account Health_Reference'!B19</f>
        <v>WM-H018</v>
      </c>
      <c r="B25" t="str">
        <f>'Account Health_Reference'!A19</f>
        <v>Marketplace Health</v>
      </c>
      <c r="C25" t="str">
        <f>'Account Health_Reference'!C19</f>
        <v>Product-Level ACoS Outliers</v>
      </c>
      <c r="D25" t="str">
        <f>'Account Health_Reference'!D19</f>
        <v>OK</v>
      </c>
      <c r="E25">
        <f>'Account Health_Reference'!N19</f>
        <v>0</v>
      </c>
      <c r="F25">
        <f t="shared" si="0"/>
        <v>0</v>
      </c>
    </row>
    <row r="26" spans="1:6" x14ac:dyDescent="0.3">
      <c r="A26" t="str">
        <f>'Account Health_Reference'!B20</f>
        <v>WM-H019</v>
      </c>
      <c r="B26" t="str">
        <f>'Account Health_Reference'!A20</f>
        <v>Budget Pacing</v>
      </c>
      <c r="C26" t="str">
        <f>'Account Health_Reference'!C20</f>
        <v>Monthly Spend Trend (L24M)</v>
      </c>
      <c r="D26" t="str">
        <f>'Account Health_Reference'!D20</f>
        <v>OK</v>
      </c>
      <c r="E26">
        <f>'Account Health_Reference'!N20</f>
        <v>0</v>
      </c>
      <c r="F26">
        <f t="shared" ref="F26" si="1">IF(D26="FLAG",E26,IF(D26="PARTIAL",E26*0.5,0))</f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Account Health_Analysis</vt:lpstr>
      <vt:lpstr>Account Health_Reference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2026-05-05T17:48:22Z</dcterms:modified>
</cp:coreProperties>
</file>