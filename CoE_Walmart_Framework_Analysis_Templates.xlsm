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WALMART FULL ANALYSIS/AGENT FRAMEWORK/"/>
    </mc:Choice>
  </mc:AlternateContent>
  <xr:revisionPtr revIDLastSave="383" documentId="11_D7210D98AB9F6511CFA7447711E4920A3EEDBF74" xr6:coauthVersionLast="47" xr6:coauthVersionMax="47" xr10:uidLastSave="{4F45011F-0802-4A2E-8009-97DCD9E5B74D}"/>
  <bookViews>
    <workbookView xWindow="-28920" yWindow="-15" windowWidth="29040" windowHeight="15720" activeTab="1" xr2:uid="{00000000-000D-0000-FFFF-FFFF00000000}"/>
  </bookViews>
  <sheets>
    <sheet name="Framework_Analysis" sheetId="1" r:id="rId1"/>
    <sheet name="Framework_Reference" sheetId="2" r:id="rId2"/>
    <sheet name="Logic and Calculation" sheetId="3" r:id="rId3"/>
  </sheets>
  <definedNames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3" l="1"/>
  <c r="B22" i="3"/>
  <c r="C22" i="3"/>
  <c r="D22" i="3"/>
  <c r="F22" i="3" s="1"/>
  <c r="A23" i="3"/>
  <c r="B23" i="3"/>
  <c r="C23" i="3"/>
  <c r="D23" i="3"/>
  <c r="F23" i="3" s="1"/>
  <c r="L16" i="2"/>
  <c r="N16" i="2"/>
  <c r="E22" i="3" s="1"/>
  <c r="L17" i="2"/>
  <c r="N17" i="2"/>
  <c r="E23" i="3" s="1"/>
  <c r="A9" i="3"/>
  <c r="B9" i="3"/>
  <c r="C9" i="3"/>
  <c r="D9" i="3"/>
  <c r="F9" i="3" s="1"/>
  <c r="A10" i="3"/>
  <c r="B10" i="3"/>
  <c r="C10" i="3"/>
  <c r="D10" i="3"/>
  <c r="F10" i="3" s="1"/>
  <c r="A11" i="3"/>
  <c r="B11" i="3"/>
  <c r="C11" i="3"/>
  <c r="D11" i="3"/>
  <c r="F11" i="3" s="1"/>
  <c r="A12" i="3"/>
  <c r="B12" i="3"/>
  <c r="C12" i="3"/>
  <c r="D12" i="3"/>
  <c r="F12" i="3" s="1"/>
  <c r="A13" i="3"/>
  <c r="B13" i="3"/>
  <c r="C13" i="3"/>
  <c r="D13" i="3"/>
  <c r="F13" i="3" s="1"/>
  <c r="A14" i="3"/>
  <c r="B14" i="3"/>
  <c r="C14" i="3"/>
  <c r="D14" i="3"/>
  <c r="F14" i="3" s="1"/>
  <c r="A15" i="3"/>
  <c r="B15" i="3"/>
  <c r="C15" i="3"/>
  <c r="D15" i="3"/>
  <c r="F15" i="3" s="1"/>
  <c r="A16" i="3"/>
  <c r="B16" i="3"/>
  <c r="C16" i="3"/>
  <c r="D16" i="3"/>
  <c r="F16" i="3" s="1"/>
  <c r="A17" i="3"/>
  <c r="B17" i="3"/>
  <c r="C17" i="3"/>
  <c r="D17" i="3"/>
  <c r="F17" i="3" s="1"/>
  <c r="A18" i="3"/>
  <c r="B18" i="3"/>
  <c r="C18" i="3"/>
  <c r="D18" i="3"/>
  <c r="F18" i="3" s="1"/>
  <c r="A19" i="3"/>
  <c r="B19" i="3"/>
  <c r="C19" i="3"/>
  <c r="D19" i="3"/>
  <c r="F19" i="3" s="1"/>
  <c r="A20" i="3"/>
  <c r="B20" i="3"/>
  <c r="C20" i="3"/>
  <c r="D20" i="3"/>
  <c r="F20" i="3" s="1"/>
  <c r="A21" i="3"/>
  <c r="B21" i="3"/>
  <c r="C21" i="3"/>
  <c r="D21" i="3"/>
  <c r="F21" i="3" s="1"/>
  <c r="L2" i="2"/>
  <c r="A12" i="1" s="1" a="1"/>
  <c r="A12" i="1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7" i="2"/>
  <c r="E13" i="3" s="1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<sst xmlns="http://schemas.openxmlformats.org/spreadsheetml/2006/main" count="198" uniqueCount="148">
  <si>
    <t>53588A - US - ZooPro — Framework Analysis</t>
  </si>
  <si>
    <t>Framework Grade</t>
  </si>
  <si>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</si>
  <si>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</si>
  <si>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</si>
  <si>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</si>
  <si>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</si>
  <si>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</si>
  <si>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</si>
  <si>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</si>
  <si>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</si>
  <si>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</si>
  <si>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</si>
  <si>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</si>
  <si>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</si>
  <si>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</si>
  <si>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</si>
  <si>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</si>
  <si>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</si>
  <si>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OK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</si>
  <si>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</si>
  <si>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</si>
  <si>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</si>
  <si>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</si>
  <si>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</si>
  <si>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</si>
  <si>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</si>
  <si>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</si>
  <si>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</si>
  <si>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The account framework is compliant. Core governance controls are correctly configured, enabling stable optimization and scalable performance.</t>
  </si>
  <si>
    <t>Final Score</t>
  </si>
  <si>
    <t>40–&lt;75 = Need Improvement</t>
  </si>
  <si>
    <t>High</t>
  </si>
  <si>
    <t>Need Improvement</t>
  </si>
  <si>
    <t>Structural deviations were identified that limit full system governance. Remediation is required before scaling.</t>
  </si>
  <si>
    <t>&lt;40 = Non-Compliant</t>
  </si>
  <si>
    <t>Non-Compliant</t>
  </si>
  <si>
    <t>Critical framework gaps were identified that materially restrict system control and optimization. Immediate remediation is required prior to any scaling activity.</t>
  </si>
  <si>
    <t>Partial weighting</t>
  </si>
  <si>
    <t>PARTIAL uses 50% of Priority</t>
  </si>
  <si>
    <t>Low</t>
  </si>
  <si>
    <t>Visibility</t>
  </si>
  <si>
    <t>Is Compliant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</si>
  <si>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</si>
  <si>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</si>
  <si>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</si>
  <si>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</si>
  <si>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Framework Version &gt; </t>
  </si>
  <si>
    <t>75–100 = Is Compliant</t>
  </si>
  <si>
    <t xml:space="preserve">Download Date &gt; </t>
  </si>
  <si>
    <t>Campaign Structure</t>
  </si>
  <si>
    <t>Bidding &amp; Automation</t>
  </si>
  <si>
    <t>Sponsored Products Coverage</t>
  </si>
  <si>
    <t>Sponsored Brands / Video Coverage</t>
  </si>
  <si>
    <t>Sponsored Display (SD) Utilization</t>
  </si>
  <si>
    <t>SP is the primary Walmart search format — its absence signals a fundamental coverage gap</t>
  </si>
  <si>
    <t>Upper-funnel awareness formats drive consideration and defend branded search share on Walmart</t>
  </si>
  <si>
    <t>Filter CampaignType for SB/video variants in 07_Campaigns_Grouped; flag if absent</t>
  </si>
  <si>
    <t>Check 35_SD_Line_Item_Report for active line items; cross-check 24_SD_Campaign_Report</t>
  </si>
  <si>
    <t>07_Campaigns_Grouped_by_Campaig</t>
  </si>
  <si>
    <t>35_SD_Line_Item_Report + 24_Sponsored_Display_Campaign_R</t>
  </si>
  <si>
    <t>34_Campaign_Metadata + 06_Campaign_Report</t>
  </si>
  <si>
    <t>34_Campaign_Metadata</t>
  </si>
  <si>
    <t>12_Advertiser_Settings</t>
  </si>
  <si>
    <t>28_Campaign_Placement_Settings</t>
  </si>
  <si>
    <t>33_Ad_Item_Metadata</t>
  </si>
  <si>
    <t>31_Ad_Group_Metadata</t>
  </si>
  <si>
    <t>31_Ad_Group_Metadata + 33_Ad_Item_Metadata</t>
  </si>
  <si>
    <t>26_Enhanced_Campaign_Details + 07_Campaigns_Grouped_by_Campaig</t>
  </si>
  <si>
    <t>New Item Onboarding Velocity</t>
  </si>
  <si>
    <t>Stagnant item roster means new catalog additions are not being monetized on Walmart</t>
  </si>
  <si>
    <t>22_Product_Catalog + 33_Ad_Item_Metadata</t>
  </si>
  <si>
    <t>WM-F001</t>
  </si>
  <si>
    <t>Verify Sponsored Products (SP) campaigns are active and generating spend 70 &lt; &gt; 100</t>
  </si>
  <si>
    <t>Filter CampaignType = sponsoredProducts from 07_Campaigns_Grouped; check Spend &gt; 0</t>
  </si>
  <si>
    <t>WM-F002</t>
  </si>
  <si>
    <t>Check if Sponsored Brands or Video campaign types are present and active  0 &lt; &gt; 15</t>
  </si>
  <si>
    <t>WM-F003</t>
  </si>
  <si>
    <t>Confirm SD campaigns are running with valid line items 0 &lt; &gt; 15</t>
  </si>
  <si>
    <t>SD enables off-platform retargeting and audience targeting — absent SD means funnel is not closed</t>
  </si>
  <si>
    <t>WM-F005</t>
  </si>
  <si>
    <t>SB Funded at Min 2% of Spend</t>
  </si>
  <si>
    <t>Verify SB campaigns receive at least 2% of total account spend for accounts live &gt;6 months</t>
  </si>
  <si>
    <t>Under-investment in SB on Walmart cedes branded search share to competitors and limits upper-funnel reach</t>
  </si>
  <si>
    <t>Aggregate SB spend from 07_Campaigns_Grouped; compute SB % of total spend</t>
  </si>
  <si>
    <t>WM-F006</t>
  </si>
  <si>
    <t>SPT</t>
  </si>
  <si>
    <t>Verify Sponsored Products Targeting (SPT) campaigns receive at least 5% of total spend</t>
  </si>
  <si>
    <t>SPT drives product page traffic and competitor conquest — below 5% signals a targeting gap</t>
  </si>
  <si>
    <t>Filter QuartileCampaignType = SPT from 08_Campaigns_Grouped_QT; compute spend share</t>
  </si>
  <si>
    <t>WM-F007</t>
  </si>
  <si>
    <t xml:space="preserve">WATM </t>
  </si>
  <si>
    <t xml:space="preserve">Full portfolio </t>
  </si>
  <si>
    <t>WATM (Walmart Automatic Targeting Match) is required for broad reach — absence signals coverage gap</t>
  </si>
  <si>
    <t>Filter QuartileCampaignType = WATM from 08_Campaigns_Grouped_QT; compute spend share</t>
  </si>
  <si>
    <t>WM-F008</t>
  </si>
  <si>
    <t>ATM Catalog Coverage Rate</t>
  </si>
  <si>
    <t>ATM  pareto TIER 30 + 1,5 orders</t>
  </si>
  <si>
    <t>ATM is the primary discovery mechanism on Walmart — low ATM coverage leaves catalog items invisible to search</t>
  </si>
  <si>
    <t>Compare ItemIds covered by ATM campaigns vs total active catalog in 22_Product_Catalog</t>
  </si>
  <si>
    <t>WM-F009</t>
  </si>
  <si>
    <t>Brand (BA) Layer Exists</t>
  </si>
  <si>
    <t xml:space="preserve">BA - top 80 </t>
  </si>
  <si>
    <t>Without a brand defense layer, competitors can capture branded search traffic at the bottom of the funnel</t>
  </si>
  <si>
    <t>Filter QuartileCampaignType = BA from 08_Campaigns_Grouped_QT; flag if missing</t>
  </si>
  <si>
    <t>Targeting &amp; Keywords</t>
  </si>
  <si>
    <t>WM-F011</t>
  </si>
  <si>
    <t>Auto vs Manual Spend Ratio</t>
  </si>
  <si>
    <t>Check that auto campaigns account for less than 60% of total keyword spend</t>
  </si>
  <si>
    <t>Over-reliance on auto targeting means bids are not being controlled at the keyword level — efficiency degrades at scale</t>
  </si>
  <si>
    <t>Aggregate spend by TargetingType from 34_Campaign_Metadata joined to 06_Campaign_Report</t>
  </si>
  <si>
    <t>WM-F013</t>
  </si>
  <si>
    <t>Sponsored Video (SV) ROAS Check</t>
  </si>
  <si>
    <t>Verify SV campaigns exist; if present, check ROAS &gt; 1.5x or flag as warning</t>
  </si>
  <si>
    <t>SV spend without minimum ROAS threshold signals creative or targeting misalignment</t>
  </si>
  <si>
    <t>Filter SV campaign type from 07_Campaigns_Grouped; compute ROAS; flag if &lt; 1.5x or missing</t>
  </si>
  <si>
    <t>WM-F014</t>
  </si>
  <si>
    <t>Bidding Strategy Configured</t>
  </si>
  <si>
    <t>Verify BiddingStrategy is set (not null) across all active campaigns</t>
  </si>
  <si>
    <t>Undefined bidding strategy means Walmart is optimizing without direction — efficiency degrades over time</t>
  </si>
  <si>
    <t>Review BiddingStrategy field in 34_Campaign_Metadata for active campaigns; flag nulls</t>
  </si>
  <si>
    <t>Product Coverage</t>
  </si>
  <si>
    <t>Advertised Item Coverage Rate</t>
  </si>
  <si>
    <t>Calculate % of active catalog items that have at least one active ad item</t>
  </si>
  <si>
    <t>Low item coverage means revenue-driving products are not being promoted — a direct gap in Walmart search presence</t>
  </si>
  <si>
    <t>Compare unique ItemIds in 33_Ad_Item_Metadata (active) vs total catalog in 22_Product_Catalog</t>
  </si>
  <si>
    <t>Check if new catalog items were added to campaigns within 30 days of creation</t>
  </si>
  <si>
    <t>Filter ItemCreationDate from 22_Product_Catalog vs first ad item creation in 33_Ad_Item_Metadata</t>
  </si>
  <si>
    <t>Item Review Status Health</t>
  </si>
  <si>
    <t>Check % of ad items with ReviewStatus = APPROVED vs REJECTED or PENDING</t>
  </si>
  <si>
    <t>Rejected or pending items do not serve and inflate the campaign roster with non-delivering ads</t>
  </si>
  <si>
    <t>Aggregate ReviewStatus from 33_Ad_Item_Metadata; flag if rejected &gt; 10% of active items</t>
  </si>
  <si>
    <t>Item Availability &amp; Publish Status</t>
  </si>
  <si>
    <t>Verify advertised items have AvailabilityStatus = AVAILABLE and PublishedStatus = PUBLISHED</t>
  </si>
  <si>
    <t>Advertising out-of-stock or unpublished items wastes budget with zero conversion potential</t>
  </si>
  <si>
    <t>Join 22_Product_Catalog AvailabilityStatus / PublishedStatus to active ad items in 33_Ad_Item_Metadata</t>
  </si>
  <si>
    <t>Zero-Inventory Items with Active Ad Spend</t>
  </si>
  <si>
    <t>Identify items with InventoryCount = 0 that are still receiving spend; target = 0 items</t>
  </si>
  <si>
    <t>Running ads on zero-inventory items burns budget with no possible conversion</t>
  </si>
  <si>
    <t>Join InventoryCount from 22_Product_Catalog to ItemIds in 33_Ad_Item_Metadata with spend &gt; 0</t>
  </si>
  <si>
    <t>WM-F004</t>
  </si>
  <si>
    <t>WM-F010</t>
  </si>
  <si>
    <t>WM-F012</t>
  </si>
  <si>
    <t>WM-F015</t>
  </si>
  <si>
    <t>WM-F016</t>
  </si>
  <si>
    <t>What You Should Do</t>
  </si>
  <si>
    <t xml:space="preserve">What You Should Do </t>
  </si>
  <si>
    <t>Walmart v1.0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</si>
</sst>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left" vertical="top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9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5" fillId="2" borderId="8" xfId="0" applyFont="1" applyFill="1" applyBorder="1" applyAlignment="1">
      <alignment horizontal="center" wrapText="1"/>
    </xf>
    <xf numFmtId="0" fontId="6" fillId="0" borderId="6" xfId="0" applyFont="1" applyBorder="1" applyAlignment="1">
      <alignment horizont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22" fontId="0" fillId="5" borderId="0" xfId="0" applyNumberFormat="1" applyFill="1" applyAlignment="1">
      <alignment horizontal="left"/>
    </xf>
    <xf numFmtId="0" fontId="0" fillId="0" borderId="0" xfId="0" applyAlignment="1">
      <alignment vertical="center" wrapText="1"/>
    </xf>
    <xf numFmtId="0" fontId="1" fillId="7" borderId="13" xfId="0" applyFont="1" applyFill="1" applyBorder="1" applyAlignment="1">
      <alignment horizontal="center" vertical="center"/>
    </xf>
    <xf numFmtId="0" fontId="0" fillId="7" borderId="14" xfId="0" applyFill="1" applyBorder="1"/>
    <xf numFmtId="0" fontId="0" fillId="7" borderId="15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27">
    <dxf>
      <alignment horizontal="general" vertical="center" textRotation="0" wrapText="1" indent="0" justifyLastLine="0" shrinkToFit="0" readingOrder="0"/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17" totalsRowShown="0" headerRowDxfId="26" dataDxfId="25" tableBorderDxfId="24">
  <autoFilter ref="A1:O17" xr:uid="{00000000-0009-0000-0100-000001000000}"/>
  <tableColumns count="15">
    <tableColumn id="1" xr3:uid="{00000000-0010-0000-0000-000001000000}" name="Block" dataDxfId="16"/>
    <tableColumn id="2" xr3:uid="{00000000-0010-0000-0000-000002000000}" name="Control ID" dataDxfId="15"/>
    <tableColumn id="3" xr3:uid="{00000000-0010-0000-0000-000003000000}" name="Control Name" dataDxfId="14"/>
    <tableColumn id="4" xr3:uid="{00000000-0010-0000-0000-000004000000}" name="STATUS" dataDxfId="13"/>
    <tableColumn id="5" xr3:uid="{00000000-0010-0000-0000-000005000000}" name="What" dataDxfId="12"/>
    <tableColumn id="6" xr3:uid="{00000000-0010-0000-0000-000006000000}" name="Why" dataDxfId="11"/>
    <tableColumn id="7" xr3:uid="{00000000-0010-0000-0000-000007000000}" name="How" dataDxfId="10"/>
    <tableColumn id="14" xr3:uid="{00000000-0010-0000-0000-00000E000000}" name="What We Saw" dataDxfId="23"/>
    <tableColumn id="15" xr3:uid="{7F2583DC-7854-4EED-8610-336DB7079DF7}" name="Why It Matters" dataDxfId="0"/>
    <tableColumn id="13" xr3:uid="{00000000-0010-0000-0000-00000D000000}" name="What You Should Do " dataDxfId="22"/>
    <tableColumn id="8" xr3:uid="{00000000-0010-0000-0000-000008000000}" name="Data Source" dataDxfId="21"/>
    <tableColumn id="9" xr3:uid="{00000000-0010-0000-0000-000009000000}" name="Impact" dataDxfId="20"/>
    <tableColumn id="10" xr3:uid="{00000000-0010-0000-0000-00000A000000}" name="Importance" dataDxfId="19"/>
    <tableColumn id="11" xr3:uid="{00000000-0010-0000-0000-00000B000000}" name="Priority" dataDxfId="18"/>
    <tableColumn id="12" xr3:uid="{00000000-0010-0000-0000-00000C000000}" name="Notes/Intent" dataDxfId="1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5"/>
  <sheetViews>
    <sheetView workbookViewId="0">
      <pane ySplit="8" topLeftCell="A9" activePane="bottomLeft" state="frozen"/>
      <selection pane="bottomLeft" activeCell="C20" sqref="C20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28" customWidth="1"/>
    <col min="5" max="6" width="50.21875" style="28" customWidth="1"/>
    <col min="7" max="7" width="36.21875" customWidth="1"/>
    <col min="8" max="8" width="33.6640625" customWidth="1"/>
    <col min="9" max="9" width="26.77734375" bestFit="1" customWidth="1"/>
    <col min="10" max="10" width="21.5546875" bestFit="1" customWidth="1"/>
    <col min="11" max="11" width="26.21875" bestFit="1" customWidth="1"/>
    <col min="12" max="12" width="19.6640625" bestFit="1" customWidth="1"/>
    <col min="13" max="13" width="19.44140625" bestFit="1" customWidth="1"/>
    <col min="14" max="14" width="21.88671875" bestFit="1" customWidth="1"/>
    <col min="15" max="15" width="25" bestFit="1" customWidth="1"/>
    <col min="16" max="16" width="25.6640625" bestFit="1" customWidth="1"/>
    <col min="17" max="17" width="28.44140625" bestFit="1" customWidth="1"/>
    <col min="18" max="18" width="27.6640625" bestFit="1" customWidth="1"/>
    <col min="19" max="19" width="22.33203125" bestFit="1" customWidth="1"/>
    <col min="20" max="20" width="16.88671875" bestFit="1" customWidth="1"/>
    <col min="21" max="21" width="10.6640625" bestFit="1" customWidth="1"/>
    <col min="22" max="22" width="26.6640625" bestFit="1" customWidth="1"/>
    <col min="23" max="23" width="27.6640625" bestFit="1" customWidth="1"/>
    <col min="24" max="24" width="18.88671875" bestFit="1" customWidth="1"/>
    <col min="25" max="25" width="20" bestFit="1" customWidth="1"/>
    <col min="26" max="26" width="14.44140625" bestFit="1" customWidth="1"/>
    <col min="27" max="27" width="19.44140625" bestFit="1" customWidth="1"/>
    <col min="28" max="28" width="12.77734375" bestFit="1" customWidth="1"/>
    <col min="29" max="29" width="30.44140625" bestFit="1" customWidth="1"/>
    <col min="30" max="30" width="24.88671875" bestFit="1" customWidth="1"/>
    <col min="31" max="31" width="20.44140625" bestFit="1" customWidth="1"/>
    <col min="32" max="32" width="16.109375" bestFit="1" customWidth="1"/>
    <col min="33" max="33" width="21.5546875" bestFit="1" customWidth="1"/>
    <col min="34" max="34" width="25.77734375" bestFit="1" customWidth="1"/>
    <col min="35" max="35" width="16.88671875" bestFit="1" customWidth="1"/>
    <col min="36" max="36" width="24.109375" bestFit="1" customWidth="1"/>
    <col min="37" max="37" width="26" bestFit="1" customWidth="1"/>
    <col min="38" max="38" width="22.21875" bestFit="1" customWidth="1"/>
    <col min="39" max="39" width="28" bestFit="1" customWidth="1"/>
    <col min="40" max="40" width="22.21875" bestFit="1" customWidth="1"/>
    <col min="41" max="41" width="16.77734375" bestFit="1" customWidth="1"/>
    <col min="42" max="42" width="14.33203125" bestFit="1" customWidth="1"/>
    <col min="43" max="43" width="16.5546875" bestFit="1" customWidth="1"/>
    <col min="44" max="44" width="15.5546875" bestFit="1" customWidth="1"/>
    <col min="45" max="45" width="21.21875" bestFit="1" customWidth="1"/>
    <col min="46" max="46" width="19.33203125" bestFit="1" customWidth="1"/>
    <col min="47" max="47" width="20.21875" bestFit="1" customWidth="1"/>
    <col min="48" max="48" width="18.5546875" bestFit="1" customWidth="1"/>
    <col min="49" max="49" width="19.6640625" bestFit="1" customWidth="1"/>
    <col min="50" max="50" width="29.33203125" bestFit="1" customWidth="1"/>
    <col min="51" max="51" width="12.44140625" bestFit="1" customWidth="1"/>
    <col min="52" max="52" width="22.6640625" bestFit="1" customWidth="1"/>
    <col min="53" max="53" width="15.77734375" bestFit="1" customWidth="1"/>
    <col min="54" max="54" width="28.21875" bestFit="1" customWidth="1"/>
    <col min="55" max="55" width="21.5546875" bestFit="1" customWidth="1"/>
    <col min="56" max="56" width="26.33203125" bestFit="1" customWidth="1"/>
    <col min="57" max="57" width="19.5546875" bestFit="1" customWidth="1"/>
    <col min="58" max="58" width="11" bestFit="1" customWidth="1"/>
  </cols>
  <sheetData>
    <row r="1" spans="1:9" ht="28.05" customHeight="1" thickBot="1" x14ac:dyDescent="0.35">
      <c r="A1" s="34" t="s">
        <v>0</v>
      </c>
      <c r="B1" s="35"/>
      <c r="C1" s="35"/>
      <c r="D1" s="35"/>
      <c r="E1" s="35"/>
      <c r="F1" s="35"/>
      <c r="G1" s="35"/>
      <c r="H1" s="36"/>
      <c r="I1" s="22"/>
    </row>
    <row r="2" spans="1:9" x14ac:dyDescent="0.3">
      <c r="A2" s="31" t="s">
        <v>47</v>
      </c>
      <c r="B2" s="22" t="s">
        <v>147</v>
      </c>
      <c r="C2" s="22"/>
      <c r="D2" s="37"/>
      <c r="E2" s="38"/>
      <c r="F2" s="38"/>
      <c r="G2" s="38"/>
      <c r="H2" s="38"/>
      <c r="I2" s="22"/>
    </row>
    <row r="3" spans="1:9" x14ac:dyDescent="0.3">
      <c r="A3" s="30" t="s">
        <v>44</v>
      </c>
      <c r="B3" t="s">
        <v>45</v>
      </c>
      <c r="D3" s="29"/>
      <c r="E3"/>
      <c r="F3"/>
      <c r="I3" s="22"/>
    </row>
    <row r="4" spans="1:9" ht="14.4" customHeight="1" x14ac:dyDescent="0.3">
      <c r="A4" s="31" t="s">
        <v>43</v>
      </c>
      <c r="B4" s="22" t="s">
        <v>46</v>
      </c>
      <c r="C4" s="22"/>
      <c r="D4" s="37"/>
      <c r="E4" s="38"/>
      <c r="F4" s="38"/>
      <c r="G4" s="38"/>
      <c r="H4" s="38"/>
      <c r="I4" s="22"/>
    </row>
    <row r="5" spans="1:9" ht="14.4" customHeight="1" x14ac:dyDescent="0.3">
      <c r="A5" s="31" t="s">
        <v>49</v>
      </c>
      <c r="B5" s="32">
        <v>46083.684884259259</v>
      </c>
      <c r="C5" s="22"/>
      <c r="D5" s="29"/>
      <c r="E5"/>
      <c r="F5"/>
      <c r="I5" s="22"/>
    </row>
    <row r="6" spans="1:9" x14ac:dyDescent="0.3">
      <c r="A6" s="22"/>
      <c r="B6" s="22"/>
      <c r="C6" s="22"/>
      <c r="D6" s="27"/>
      <c r="E6" s="27"/>
      <c r="F6" s="27"/>
      <c r="G6" s="22"/>
      <c r="H6" s="22"/>
      <c r="I6" s="22"/>
    </row>
    <row r="7" spans="1:9" ht="21" customHeight="1" x14ac:dyDescent="0.3">
      <c r="A7" s="39" t="s">
        <v>1</v>
      </c>
      <c r="B7" s="38"/>
      <c r="C7" s="38"/>
      <c r="D7" s="42" t="str">
        <f>'Logic and Calculation'!B5</f>
        <v>Is Compliant</v>
      </c>
      <c r="E7" s="38"/>
      <c r="F7" s="38"/>
      <c r="G7" s="38"/>
      <c r="H7" s="38"/>
      <c r="I7" s="22"/>
    </row>
    <row r="8" spans="1:9" ht="18" customHeight="1" x14ac:dyDescent="0.3">
      <c r="A8" s="39" t="s">
        <v>2</v>
      </c>
      <c r="B8" s="38"/>
      <c r="C8" s="38"/>
      <c r="D8" s="41" t="str">
        <f t="array" ref="D8">_xlfn.IFS(D7='Logic and Calculation'!L3,'Logic and Calculation'!M3,D7='Logic and Calculation'!L4,'Logic and Calculation'!M4,D7='Logic and Calculation'!L5,'Logic and Calculation'!M5)</f>
        <v>The account framework is compliant. Core governance controls are correctly configured, enabling stable optimization and scalable performance.</v>
      </c>
      <c r="E8" s="38"/>
      <c r="F8" s="38"/>
      <c r="G8" s="38"/>
      <c r="H8" s="38"/>
      <c r="I8" s="22"/>
    </row>
    <row r="9" spans="1:9" ht="18" customHeight="1" x14ac:dyDescent="0.3">
      <c r="A9" s="22"/>
      <c r="B9" s="22"/>
      <c r="C9" s="22"/>
      <c r="D9" s="27"/>
      <c r="E9" s="27"/>
      <c r="F9" s="27"/>
      <c r="G9" s="22"/>
      <c r="H9" s="22"/>
      <c r="I9" s="22"/>
    </row>
    <row r="10" spans="1:9" x14ac:dyDescent="0.3">
      <c r="A10" s="40" t="s">
        <v>3</v>
      </c>
      <c r="B10" s="38"/>
      <c r="C10" s="38"/>
      <c r="D10" s="38"/>
      <c r="E10" s="38"/>
      <c r="F10" s="38"/>
      <c r="G10" s="38"/>
      <c r="H10" s="38"/>
    </row>
    <row r="11" spans="1:9" ht="19.95" customHeight="1" x14ac:dyDescent="0.3">
      <c r="A11" s="1" t="s">
        <v>4</v>
      </c>
      <c r="B11" s="1" t="s">
        <v>5</v>
      </c>
      <c r="C11" s="1" t="s">
        <v>6</v>
      </c>
      <c r="D11" s="1" t="s">
        <v>7</v>
      </c>
      <c r="E11" s="1" t="s">
        <v>8</v>
      </c>
      <c r="F11" s="1" t="s">
        <v>145</v>
      </c>
      <c r="G11" s="1" t="s">
        <v>9</v>
      </c>
      <c r="H11" s="20"/>
      <c r="I11" s="20"/>
    </row>
    <row r="12" spans="1:9" ht="44.4" customHeight="1" x14ac:dyDescent="0.3">
      <c r="A12" s="23" t="str" cm="1">
        <f t="array" ref="A12">_xlfn.LET(
  _xlpm.id, Framework_Reference!B2:B17,
  _xlpm.name, Framework_Reference!C2:C17,
  _xlpm.st, Framework_Reference!D2:D17,
  _xlpm.saw, Framework_Reference!O2:O17,
  _xlpm.matter, Framework_Reference!J2:J17,
  _xlpm.impact, Framework_Reference!L2:L17,
  _xlpm.data, _xlfn.HSTACK(_xlpm.id, _xlpm.name, _xlpm.st, _xlpm.saw, _xlpm.matter, _xlpm.impact),
  _xlfn._xlws.FILTER(_xlpm.data, _xlpm.st&lt;&gt;"OK", "No findings — all controls OK")
)</f>
        <v>No findings — all controls OK</v>
      </c>
      <c r="B12" s="23"/>
      <c r="C12" s="24"/>
      <c r="D12" s="25"/>
      <c r="E12" s="25"/>
      <c r="F12" s="25"/>
      <c r="G12" s="23"/>
      <c r="H12" s="22"/>
      <c r="I12" s="22"/>
    </row>
    <row r="13" spans="1:9" ht="44.4" customHeight="1" x14ac:dyDescent="0.3">
      <c r="A13" s="23"/>
      <c r="B13" s="23"/>
      <c r="C13" s="21"/>
      <c r="D13" s="25"/>
      <c r="E13" s="25"/>
      <c r="F13" s="25"/>
      <c r="G13" s="23"/>
      <c r="H13" s="22"/>
      <c r="I13" s="22"/>
    </row>
    <row r="14" spans="1:9" ht="44.4" customHeight="1" x14ac:dyDescent="0.3">
      <c r="A14" s="23"/>
      <c r="B14" s="23"/>
      <c r="C14" s="21"/>
      <c r="D14" s="25"/>
      <c r="E14" s="25"/>
      <c r="F14" s="25"/>
      <c r="G14" s="23"/>
      <c r="H14" s="22"/>
      <c r="I14" s="22"/>
    </row>
    <row r="15" spans="1:9" ht="44.4" customHeight="1" x14ac:dyDescent="0.3">
      <c r="A15" s="23"/>
      <c r="B15" s="23"/>
      <c r="C15" s="21"/>
      <c r="D15" s="25"/>
      <c r="E15" s="25"/>
      <c r="F15" s="25"/>
      <c r="G15" s="23"/>
      <c r="H15" s="22"/>
      <c r="I15" s="22"/>
    </row>
    <row r="16" spans="1:9" ht="44.4" customHeight="1" x14ac:dyDescent="0.3">
      <c r="A16" s="23"/>
      <c r="B16" s="23"/>
      <c r="C16" s="21"/>
      <c r="D16" s="25"/>
      <c r="E16" s="25"/>
      <c r="F16" s="25"/>
      <c r="G16" s="23"/>
      <c r="H16" s="22"/>
      <c r="I16" s="22"/>
    </row>
    <row r="17" spans="1:9" ht="44.4" customHeight="1" x14ac:dyDescent="0.3">
      <c r="A17" s="23"/>
      <c r="B17" s="23"/>
      <c r="C17" s="21"/>
      <c r="D17" s="25"/>
      <c r="E17" s="25"/>
      <c r="F17" s="25"/>
      <c r="G17" s="23"/>
      <c r="H17" s="22"/>
      <c r="I17" s="22"/>
    </row>
    <row r="18" spans="1:9" ht="44.4" customHeight="1" x14ac:dyDescent="0.3">
      <c r="A18" s="23"/>
      <c r="B18" s="23"/>
      <c r="C18" s="21"/>
      <c r="D18" s="25"/>
      <c r="E18" s="25"/>
      <c r="F18" s="25"/>
      <c r="G18" s="23"/>
      <c r="H18" s="22"/>
      <c r="I18" s="22"/>
    </row>
    <row r="19" spans="1:9" ht="44.4" customHeight="1" x14ac:dyDescent="0.3">
      <c r="A19" s="23"/>
      <c r="B19" s="23"/>
      <c r="C19" s="21"/>
      <c r="D19" s="25"/>
      <c r="E19" s="25"/>
      <c r="F19" s="25"/>
      <c r="G19" s="23"/>
      <c r="H19" s="22"/>
      <c r="I19" s="22"/>
    </row>
    <row r="20" spans="1:9" ht="44.4" customHeight="1" x14ac:dyDescent="0.3">
      <c r="A20" s="23"/>
      <c r="B20" s="23"/>
      <c r="C20" s="21"/>
      <c r="D20" s="25"/>
      <c r="E20" s="25"/>
      <c r="F20" s="25"/>
      <c r="G20" s="23"/>
      <c r="H20" s="22"/>
      <c r="I20" s="22"/>
    </row>
    <row r="21" spans="1:9" ht="44.4" customHeight="1" x14ac:dyDescent="0.3">
      <c r="A21" s="23"/>
      <c r="B21" s="23"/>
      <c r="C21" s="21"/>
      <c r="D21" s="25"/>
      <c r="E21" s="25"/>
      <c r="F21" s="25"/>
      <c r="G21" s="23"/>
      <c r="H21" s="22"/>
      <c r="I21" s="22"/>
    </row>
    <row r="22" spans="1:9" ht="44.4" customHeight="1" x14ac:dyDescent="0.3">
      <c r="A22" s="23"/>
      <c r="B22" s="23"/>
      <c r="C22" s="21"/>
      <c r="D22" s="25"/>
      <c r="E22" s="25"/>
      <c r="F22" s="25"/>
      <c r="G22" s="23"/>
      <c r="H22" s="22"/>
      <c r="I22" s="22"/>
    </row>
    <row r="23" spans="1:9" ht="44.4" customHeight="1" x14ac:dyDescent="0.3">
      <c r="A23" s="23"/>
      <c r="B23" s="23"/>
      <c r="C23" s="21"/>
      <c r="D23" s="25"/>
      <c r="E23" s="25"/>
      <c r="F23" s="25"/>
      <c r="G23" s="23"/>
      <c r="H23" s="22"/>
      <c r="I23" s="22"/>
    </row>
    <row r="24" spans="1:9" ht="44.4" customHeight="1" x14ac:dyDescent="0.3">
      <c r="A24" s="23"/>
      <c r="B24" s="23"/>
      <c r="C24" s="21"/>
      <c r="D24" s="25"/>
      <c r="E24" s="25"/>
      <c r="F24" s="25"/>
      <c r="G24" s="23"/>
      <c r="H24" s="22"/>
      <c r="I24" s="22"/>
    </row>
    <row r="25" spans="1:9" ht="44.4" customHeight="1" x14ac:dyDescent="0.3">
      <c r="A25" s="23"/>
      <c r="B25" s="23"/>
      <c r="C25" s="21"/>
      <c r="D25" s="25"/>
      <c r="E25" s="25"/>
      <c r="F25" s="25"/>
      <c r="G25" s="23"/>
      <c r="H25" s="22"/>
      <c r="I25" s="22"/>
    </row>
    <row r="26" spans="1:9" ht="44.4" customHeight="1" x14ac:dyDescent="0.3">
      <c r="A26" s="22"/>
      <c r="B26" s="22"/>
      <c r="C26" s="21"/>
      <c r="D26" s="27"/>
      <c r="E26" s="27"/>
      <c r="F26" s="27"/>
      <c r="G26" s="22"/>
      <c r="H26" s="22"/>
      <c r="I26" s="22"/>
    </row>
    <row r="27" spans="1:9" ht="44.4" customHeight="1" x14ac:dyDescent="0.3">
      <c r="A27" s="22"/>
      <c r="B27" s="22"/>
      <c r="C27" s="21"/>
      <c r="D27" s="27"/>
      <c r="E27" s="27"/>
      <c r="F27" s="27"/>
      <c r="G27" s="22"/>
      <c r="H27" s="22"/>
      <c r="I27" s="22"/>
    </row>
    <row r="28" spans="1:9" ht="44.4" customHeight="1" x14ac:dyDescent="0.3">
      <c r="A28" s="22"/>
      <c r="B28" s="22"/>
      <c r="C28" s="21"/>
      <c r="D28" s="27"/>
      <c r="E28" s="27"/>
      <c r="F28" s="27"/>
      <c r="G28" s="22"/>
      <c r="H28" s="22"/>
      <c r="I28" s="22"/>
    </row>
    <row r="29" spans="1:9" ht="44.4" customHeight="1" x14ac:dyDescent="0.3">
      <c r="A29" s="22"/>
      <c r="B29" s="22"/>
      <c r="C29" s="21"/>
      <c r="D29" s="27"/>
      <c r="E29" s="27"/>
      <c r="F29" s="27"/>
      <c r="G29" s="22"/>
      <c r="H29" s="22"/>
      <c r="I29" s="22"/>
    </row>
    <row r="30" spans="1:9" ht="44.4" customHeight="1" x14ac:dyDescent="0.3">
      <c r="A30" s="22"/>
      <c r="B30" s="22"/>
      <c r="C30" s="21"/>
      <c r="D30" s="27"/>
      <c r="E30" s="27"/>
      <c r="F30" s="27"/>
      <c r="G30" s="22"/>
      <c r="H30" s="22"/>
      <c r="I30" s="22"/>
    </row>
    <row r="31" spans="1:9" ht="44.4" customHeight="1" x14ac:dyDescent="0.3">
      <c r="C31" s="21"/>
    </row>
    <row r="32" spans="1:9" ht="44.4" customHeight="1" x14ac:dyDescent="0.3">
      <c r="C32" s="21"/>
    </row>
    <row r="33" spans="3:3" ht="44.4" customHeight="1" x14ac:dyDescent="0.3">
      <c r="C33" s="21"/>
    </row>
    <row r="34" spans="3:3" ht="44.4" customHeight="1" x14ac:dyDescent="0.3">
      <c r="C34" s="21"/>
    </row>
    <row r="35" spans="3:3" ht="44.4" customHeight="1" x14ac:dyDescent="0.3">
      <c r="C35" s="21"/>
    </row>
  </sheetData>
  <mergeCells count="8">
    <mergeCell ref="A1:H1"/>
    <mergeCell ref="D4:H4"/>
    <mergeCell ref="A7:C7"/>
    <mergeCell ref="A10:H10"/>
    <mergeCell ref="D8:H8"/>
    <mergeCell ref="A8:C8"/>
    <mergeCell ref="D2:H2"/>
    <mergeCell ref="D7:H7"/>
  </mergeCells>
  <conditionalFormatting sqref="C12:C35">
    <cfRule type="cellIs" dxfId="9" priority="4" stopIfTrue="1" operator="equal">
      <formula>"OK"</formula>
    </cfRule>
    <cfRule type="cellIs" dxfId="8" priority="5" stopIfTrue="1" operator="equal">
      <formula>"PARTIAL"</formula>
    </cfRule>
    <cfRule type="cellIs" dxfId="7" priority="6" stopIfTrue="1" operator="equal">
      <formula>"FLAG"</formula>
    </cfRule>
  </conditionalFormatting>
  <conditionalFormatting sqref="D7:H7">
    <cfRule type="containsText" dxfId="6" priority="1" operator="containsText" text="Is Compliant">
      <formula>NOT(ISERROR(SEARCH("Is Compliant",D7)))</formula>
    </cfRule>
    <cfRule type="containsText" dxfId="5" priority="2" operator="containsText" text="Need Improvement">
      <formula>NOT(ISERROR(SEARCH("Need Improvement",D7)))</formula>
    </cfRule>
    <cfRule type="containsText" dxfId="4" priority="3" operator="containsText" text="Non-Compliant">
      <formula>NOT(ISERROR(SEARCH("Non-Compliant",D7)))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7"/>
  <sheetViews>
    <sheetView tabSelected="1" zoomScale="70" zoomScaleNormal="70" workbookViewId="0">
      <pane ySplit="1" topLeftCell="A2" activePane="bottomLeft" state="frozen"/>
      <selection pane="bottomLeft" activeCell="F8" sqref="F8"/>
    </sheetView>
  </sheetViews>
  <sheetFormatPr defaultRowHeight="14.4" x14ac:dyDescent="0.3"/>
  <cols>
    <col min="1" max="1" width="22" style="19" customWidth="1"/>
    <col min="2" max="2" width="10.5546875" style="19" customWidth="1"/>
    <col min="3" max="3" width="34.21875" style="19" customWidth="1"/>
    <col min="4" max="4" width="8.44140625" style="14" customWidth="1"/>
    <col min="5" max="6" width="38" customWidth="1"/>
    <col min="7" max="7" width="52.21875" customWidth="1"/>
    <col min="8" max="10" width="47.88671875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5" t="s">
        <v>10</v>
      </c>
      <c r="B1" s="8" t="s">
        <v>4</v>
      </c>
      <c r="C1" s="9" t="s">
        <v>5</v>
      </c>
      <c r="D1" s="15" t="s">
        <v>11</v>
      </c>
      <c r="E1" s="9" t="s">
        <v>12</v>
      </c>
      <c r="F1" s="9" t="s">
        <v>13</v>
      </c>
      <c r="G1" s="9" t="s">
        <v>14</v>
      </c>
      <c r="H1" s="1" t="s">
        <v>7</v>
      </c>
      <c r="I1" s="1" t="s">
        <v>8</v>
      </c>
      <c r="J1" s="1" t="s">
        <v>146</v>
      </c>
      <c r="K1" s="9" t="s">
        <v>15</v>
      </c>
      <c r="L1" s="9" t="s">
        <v>9</v>
      </c>
      <c r="M1" s="9" t="s">
        <v>16</v>
      </c>
      <c r="N1" s="9" t="s">
        <v>17</v>
      </c>
      <c r="O1" s="11" t="s">
        <v>18</v>
      </c>
    </row>
    <row r="2" spans="1:15" ht="44.4" customHeight="1" x14ac:dyDescent="0.3">
      <c r="A2" s="17" t="s">
        <v>50</v>
      </c>
      <c r="B2" s="6" t="s">
        <v>72</v>
      </c>
      <c r="C2" s="6" t="s">
        <v>52</v>
      </c>
      <c r="D2" s="16" t="s">
        <v>19</v>
      </c>
      <c r="E2" s="7" t="s">
        <v>73</v>
      </c>
      <c r="F2" s="7" t="s">
        <v>55</v>
      </c>
      <c r="G2" s="7" t="s">
        <v>74</v>
      </c>
      <c r="H2" s="33"/>
      <c r="I2" s="33"/>
      <c r="J2" s="33"/>
      <c r="K2" s="7" t="s">
        <v>59</v>
      </c>
      <c r="L2" s="4" t="str">
        <f>VLOOKUP(Table1[[#This Row],[Importance]],'Logic and Calculation'!$H$3:$J$12,3,FALSE)</f>
        <v>High</v>
      </c>
      <c r="M2" s="6">
        <v>8</v>
      </c>
      <c r="N2" s="4">
        <f>VLOOKUP(Table1[[#This Row],[Importance]],'Logic and Calculation'!$H$3:$J$12,2,FALSE)</f>
        <v>-13</v>
      </c>
      <c r="O2" s="12"/>
    </row>
    <row r="3" spans="1:15" ht="44.4" customHeight="1" x14ac:dyDescent="0.3">
      <c r="A3" s="18" t="s">
        <v>50</v>
      </c>
      <c r="B3" s="6" t="s">
        <v>75</v>
      </c>
      <c r="C3" s="4" t="s">
        <v>53</v>
      </c>
      <c r="D3" s="16" t="s">
        <v>19</v>
      </c>
      <c r="E3" s="3" t="s">
        <v>76</v>
      </c>
      <c r="F3" s="3" t="s">
        <v>56</v>
      </c>
      <c r="G3" s="3" t="s">
        <v>57</v>
      </c>
      <c r="H3" s="33"/>
      <c r="I3" s="33"/>
      <c r="J3" s="33"/>
      <c r="K3" s="3" t="s">
        <v>59</v>
      </c>
      <c r="L3" s="4" t="str">
        <f>VLOOKUP(Table1[[#This Row],[Importance]],'Logic and Calculation'!$H$3:$J$12,3,FALSE)</f>
        <v>Medium</v>
      </c>
      <c r="M3" s="4">
        <v>6</v>
      </c>
      <c r="N3" s="4">
        <f>VLOOKUP(Table1[[#This Row],[Importance]],'Logic and Calculation'!$H$3:$J$12,2,FALSE)</f>
        <v>-9</v>
      </c>
      <c r="O3" s="13"/>
    </row>
    <row r="4" spans="1:15" ht="44.4" customHeight="1" x14ac:dyDescent="0.3">
      <c r="A4" s="18" t="s">
        <v>50</v>
      </c>
      <c r="B4" s="6" t="s">
        <v>77</v>
      </c>
      <c r="C4" s="4" t="s">
        <v>54</v>
      </c>
      <c r="D4" s="16" t="s">
        <v>19</v>
      </c>
      <c r="E4" s="3" t="s">
        <v>78</v>
      </c>
      <c r="F4" s="3" t="s">
        <v>79</v>
      </c>
      <c r="G4" s="3" t="s">
        <v>58</v>
      </c>
      <c r="H4" s="33"/>
      <c r="I4" s="33"/>
      <c r="J4" s="33"/>
      <c r="K4" s="3" t="s">
        <v>60</v>
      </c>
      <c r="L4" s="4" t="str">
        <f>VLOOKUP(Table1[[#This Row],[Importance]],'Logic and Calculation'!$H$3:$J$12,3,FALSE)</f>
        <v>High</v>
      </c>
      <c r="M4" s="4">
        <v>8</v>
      </c>
      <c r="N4" s="4">
        <f>VLOOKUP(Table1[[#This Row],[Importance]],'Logic and Calculation'!$H$3:$J$12,2,FALSE)</f>
        <v>-13</v>
      </c>
      <c r="O4" s="13"/>
    </row>
    <row r="5" spans="1:15" ht="44.4" customHeight="1" x14ac:dyDescent="0.3">
      <c r="A5" s="18" t="s">
        <v>50</v>
      </c>
      <c r="B5" s="6" t="s">
        <v>140</v>
      </c>
      <c r="C5" s="4" t="s">
        <v>81</v>
      </c>
      <c r="D5" s="16" t="s">
        <v>19</v>
      </c>
      <c r="E5" s="3" t="s">
        <v>82</v>
      </c>
      <c r="F5" s="3" t="s">
        <v>83</v>
      </c>
      <c r="G5" s="3" t="s">
        <v>84</v>
      </c>
      <c r="H5" s="33"/>
      <c r="I5" s="33"/>
      <c r="J5" s="33"/>
      <c r="K5" s="3" t="s">
        <v>61</v>
      </c>
      <c r="L5" s="4" t="str">
        <f>VLOOKUP(Table1[[#This Row],[Importance]],'Logic and Calculation'!$H$3:$J$12,3,FALSE)</f>
        <v>High</v>
      </c>
      <c r="M5" s="4">
        <v>8</v>
      </c>
      <c r="N5" s="4">
        <f>VLOOKUP(Table1[[#This Row],[Importance]],'Logic and Calculation'!$H$3:$J$12,2,FALSE)</f>
        <v>-13</v>
      </c>
      <c r="O5" s="13"/>
    </row>
    <row r="6" spans="1:15" ht="44.4" customHeight="1" x14ac:dyDescent="0.3">
      <c r="A6" s="18" t="s">
        <v>50</v>
      </c>
      <c r="B6" s="6" t="s">
        <v>80</v>
      </c>
      <c r="C6" s="4" t="s">
        <v>86</v>
      </c>
      <c r="D6" s="16" t="s">
        <v>19</v>
      </c>
      <c r="E6" s="3" t="s">
        <v>87</v>
      </c>
      <c r="F6" s="3" t="s">
        <v>88</v>
      </c>
      <c r="G6" s="3" t="s">
        <v>89</v>
      </c>
      <c r="H6" s="33"/>
      <c r="I6" s="33"/>
      <c r="J6" s="33"/>
      <c r="K6" s="3" t="s">
        <v>62</v>
      </c>
      <c r="L6" s="4" t="str">
        <f>VLOOKUP(Table1[[#This Row],[Importance]],'Logic and Calculation'!$H$3:$J$12,3,FALSE)</f>
        <v>Medium</v>
      </c>
      <c r="M6" s="4">
        <v>6</v>
      </c>
      <c r="N6" s="4">
        <f>VLOOKUP(Table1[[#This Row],[Importance]],'Logic and Calculation'!$H$3:$J$12,2,FALSE)</f>
        <v>-9</v>
      </c>
      <c r="O6" s="13"/>
    </row>
    <row r="7" spans="1:15" ht="44.4" customHeight="1" x14ac:dyDescent="0.3">
      <c r="A7" s="18" t="s">
        <v>50</v>
      </c>
      <c r="B7" s="6" t="s">
        <v>85</v>
      </c>
      <c r="C7" s="4" t="s">
        <v>91</v>
      </c>
      <c r="D7" s="16" t="s">
        <v>19</v>
      </c>
      <c r="E7" s="3" t="s">
        <v>92</v>
      </c>
      <c r="F7" s="3" t="s">
        <v>93</v>
      </c>
      <c r="G7" s="3" t="s">
        <v>94</v>
      </c>
      <c r="H7" s="33"/>
      <c r="I7" s="33"/>
      <c r="J7" s="33"/>
      <c r="K7" s="3" t="s">
        <v>62</v>
      </c>
      <c r="L7" s="4" t="str">
        <f>VLOOKUP(Table1[[#This Row],[Importance]],'Logic and Calculation'!$H$3:$J$12,3,FALSE)</f>
        <v>Medium</v>
      </c>
      <c r="M7" s="4">
        <v>5</v>
      </c>
      <c r="N7" s="4">
        <f>VLOOKUP(Table1[[#This Row],[Importance]],'Logic and Calculation'!$H$3:$J$12,2,FALSE)</f>
        <v>-7</v>
      </c>
      <c r="O7" s="13"/>
    </row>
    <row r="8" spans="1:15" ht="44.4" customHeight="1" x14ac:dyDescent="0.3">
      <c r="A8" s="18" t="s">
        <v>50</v>
      </c>
      <c r="B8" s="6" t="s">
        <v>90</v>
      </c>
      <c r="C8" s="4" t="s">
        <v>96</v>
      </c>
      <c r="D8" s="16" t="s">
        <v>19</v>
      </c>
      <c r="E8" s="3" t="s">
        <v>97</v>
      </c>
      <c r="F8" s="3" t="s">
        <v>98</v>
      </c>
      <c r="G8" s="3" t="s">
        <v>99</v>
      </c>
      <c r="H8" s="33"/>
      <c r="I8" s="33"/>
      <c r="J8" s="33"/>
      <c r="K8" s="3" t="s">
        <v>62</v>
      </c>
      <c r="L8" s="4" t="str">
        <f>VLOOKUP(Table1[[#This Row],[Importance]],'Logic and Calculation'!$H$3:$J$12,3,FALSE)</f>
        <v>High</v>
      </c>
      <c r="M8" s="4">
        <v>8</v>
      </c>
      <c r="N8" s="4">
        <f>VLOOKUP(Table1[[#This Row],[Importance]],'Logic and Calculation'!$H$3:$J$12,2,FALSE)</f>
        <v>-13</v>
      </c>
      <c r="O8" s="13"/>
    </row>
    <row r="9" spans="1:15" ht="44.4" customHeight="1" x14ac:dyDescent="0.3">
      <c r="A9" s="18" t="s">
        <v>50</v>
      </c>
      <c r="B9" s="6" t="s">
        <v>95</v>
      </c>
      <c r="C9" s="4" t="s">
        <v>101</v>
      </c>
      <c r="D9" s="16" t="s">
        <v>19</v>
      </c>
      <c r="E9" s="3" t="s">
        <v>102</v>
      </c>
      <c r="F9" s="3" t="s">
        <v>103</v>
      </c>
      <c r="G9" s="3" t="s">
        <v>104</v>
      </c>
      <c r="H9" s="33"/>
      <c r="I9" s="33"/>
      <c r="J9" s="33"/>
      <c r="K9" s="3" t="s">
        <v>63</v>
      </c>
      <c r="L9" s="4" t="str">
        <f>VLOOKUP(Table1[[#This Row],[Importance]],'Logic and Calculation'!$H$3:$J$12,3,FALSE)</f>
        <v>Critical</v>
      </c>
      <c r="M9" s="4">
        <v>10</v>
      </c>
      <c r="N9" s="4">
        <f>VLOOKUP(Table1[[#This Row],[Importance]],'Logic and Calculation'!$H$3:$J$12,2,FALSE)</f>
        <v>-18</v>
      </c>
      <c r="O9" s="13"/>
    </row>
    <row r="10" spans="1:15" ht="44.4" customHeight="1" x14ac:dyDescent="0.3">
      <c r="A10" s="18" t="s">
        <v>105</v>
      </c>
      <c r="B10" s="6" t="s">
        <v>100</v>
      </c>
      <c r="C10" s="4" t="s">
        <v>107</v>
      </c>
      <c r="D10" s="16" t="s">
        <v>19</v>
      </c>
      <c r="E10" s="3" t="s">
        <v>108</v>
      </c>
      <c r="F10" s="3" t="s">
        <v>109</v>
      </c>
      <c r="G10" s="3" t="s">
        <v>110</v>
      </c>
      <c r="H10" s="33"/>
      <c r="I10" s="33"/>
      <c r="J10" s="33"/>
      <c r="K10" s="3" t="s">
        <v>64</v>
      </c>
      <c r="L10" s="4" t="str">
        <f>VLOOKUP(Table1[[#This Row],[Importance]],'Logic and Calculation'!$H$3:$J$12,3,FALSE)</f>
        <v>High</v>
      </c>
      <c r="M10" s="4">
        <v>8</v>
      </c>
      <c r="N10" s="4">
        <f>VLOOKUP(Table1[[#This Row],[Importance]],'Logic and Calculation'!$H$3:$J$12,2,FALSE)</f>
        <v>-13</v>
      </c>
      <c r="O10" s="13"/>
    </row>
    <row r="11" spans="1:15" ht="44.4" customHeight="1" x14ac:dyDescent="0.3">
      <c r="A11" s="18" t="s">
        <v>105</v>
      </c>
      <c r="B11" s="6" t="s">
        <v>141</v>
      </c>
      <c r="C11" s="4" t="s">
        <v>112</v>
      </c>
      <c r="D11" s="16" t="s">
        <v>19</v>
      </c>
      <c r="E11" s="3" t="s">
        <v>113</v>
      </c>
      <c r="F11" s="3" t="s">
        <v>114</v>
      </c>
      <c r="G11" s="3" t="s">
        <v>115</v>
      </c>
      <c r="H11" s="33"/>
      <c r="I11" s="33"/>
      <c r="J11" s="33"/>
      <c r="K11" s="3" t="s">
        <v>63</v>
      </c>
      <c r="L11" s="4" t="str">
        <f>VLOOKUP(Table1[[#This Row],[Importance]],'Logic and Calculation'!$H$3:$J$12,3,FALSE)</f>
        <v>High</v>
      </c>
      <c r="M11" s="4">
        <v>8</v>
      </c>
      <c r="N11" s="4">
        <f>VLOOKUP(Table1[[#This Row],[Importance]],'Logic and Calculation'!$H$3:$J$12,2,FALSE)</f>
        <v>-13</v>
      </c>
      <c r="O11" s="13"/>
    </row>
    <row r="12" spans="1:15" ht="44.4" customHeight="1" x14ac:dyDescent="0.3">
      <c r="A12" s="18" t="s">
        <v>51</v>
      </c>
      <c r="B12" s="6" t="s">
        <v>106</v>
      </c>
      <c r="C12" s="4" t="s">
        <v>117</v>
      </c>
      <c r="D12" s="16" t="s">
        <v>19</v>
      </c>
      <c r="E12" s="3" t="s">
        <v>118</v>
      </c>
      <c r="F12" s="3" t="s">
        <v>119</v>
      </c>
      <c r="G12" s="3" t="s">
        <v>120</v>
      </c>
      <c r="H12" s="33"/>
      <c r="I12" s="33"/>
      <c r="J12" s="33"/>
      <c r="K12" s="3" t="s">
        <v>65</v>
      </c>
      <c r="L12" s="4" t="str">
        <f>VLOOKUP(Table1[[#This Row],[Importance]],'Logic and Calculation'!$H$3:$J$12,3,FALSE)</f>
        <v>Medium</v>
      </c>
      <c r="M12" s="4">
        <v>7</v>
      </c>
      <c r="N12" s="4">
        <f>VLOOKUP(Table1[[#This Row],[Importance]],'Logic and Calculation'!$H$3:$J$12,2,FALSE)</f>
        <v>-11</v>
      </c>
      <c r="O12" s="13"/>
    </row>
    <row r="13" spans="1:15" ht="44.4" customHeight="1" x14ac:dyDescent="0.3">
      <c r="A13" s="18" t="s">
        <v>121</v>
      </c>
      <c r="B13" s="6" t="s">
        <v>142</v>
      </c>
      <c r="C13" s="4" t="s">
        <v>122</v>
      </c>
      <c r="D13" s="16" t="s">
        <v>19</v>
      </c>
      <c r="E13" s="3" t="s">
        <v>123</v>
      </c>
      <c r="F13" s="3" t="s">
        <v>124</v>
      </c>
      <c r="G13" s="3" t="s">
        <v>125</v>
      </c>
      <c r="H13" s="33"/>
      <c r="I13" s="33"/>
      <c r="J13" s="33"/>
      <c r="K13" s="3" t="s">
        <v>66</v>
      </c>
      <c r="L13" s="4" t="str">
        <f>VLOOKUP(Table1[[#This Row],[Importance]],'Logic and Calculation'!$H$3:$J$12,3,FALSE)</f>
        <v>Critical</v>
      </c>
      <c r="M13" s="4">
        <v>10</v>
      </c>
      <c r="N13" s="4">
        <f>VLOOKUP(Table1[[#This Row],[Importance]],'Logic and Calculation'!$H$3:$J$12,2,FALSE)</f>
        <v>-18</v>
      </c>
      <c r="O13" s="13"/>
    </row>
    <row r="14" spans="1:15" ht="44.4" customHeight="1" x14ac:dyDescent="0.3">
      <c r="A14" s="18" t="s">
        <v>121</v>
      </c>
      <c r="B14" s="6" t="s">
        <v>111</v>
      </c>
      <c r="C14" s="4" t="s">
        <v>69</v>
      </c>
      <c r="D14" s="16" t="s">
        <v>19</v>
      </c>
      <c r="E14" s="3" t="s">
        <v>126</v>
      </c>
      <c r="F14" s="3" t="s">
        <v>70</v>
      </c>
      <c r="G14" s="3" t="s">
        <v>127</v>
      </c>
      <c r="H14" s="33"/>
      <c r="I14" s="33"/>
      <c r="J14" s="33"/>
      <c r="K14" s="3" t="s">
        <v>66</v>
      </c>
      <c r="L14" s="4" t="str">
        <f>VLOOKUP(Table1[[#This Row],[Importance]],'Logic and Calculation'!$H$3:$J$12,3,FALSE)</f>
        <v>Medium</v>
      </c>
      <c r="M14" s="4">
        <v>6</v>
      </c>
      <c r="N14" s="4">
        <f>VLOOKUP(Table1[[#This Row],[Importance]],'Logic and Calculation'!$H$3:$J$12,2,FALSE)</f>
        <v>-9</v>
      </c>
      <c r="O14" s="13"/>
    </row>
    <row r="15" spans="1:15" ht="44.4" customHeight="1" x14ac:dyDescent="0.3">
      <c r="A15" s="18" t="s">
        <v>121</v>
      </c>
      <c r="B15" s="6" t="s">
        <v>116</v>
      </c>
      <c r="C15" s="4" t="s">
        <v>128</v>
      </c>
      <c r="D15" s="16" t="s">
        <v>19</v>
      </c>
      <c r="E15" s="3" t="s">
        <v>129</v>
      </c>
      <c r="F15" s="3" t="s">
        <v>130</v>
      </c>
      <c r="G15" s="3" t="s">
        <v>131</v>
      </c>
      <c r="H15" s="33"/>
      <c r="I15" s="33"/>
      <c r="J15" s="33"/>
      <c r="K15" s="3" t="s">
        <v>67</v>
      </c>
      <c r="L15" s="4" t="str">
        <f>VLOOKUP(Table1[[#This Row],[Importance]],'Logic and Calculation'!$H$3:$J$12,3,FALSE)</f>
        <v>High</v>
      </c>
      <c r="M15" s="4">
        <v>8</v>
      </c>
      <c r="N15" s="4">
        <f>VLOOKUP(Table1[[#This Row],[Importance]],'Logic and Calculation'!$H$3:$J$12,2,FALSE)</f>
        <v>-13</v>
      </c>
      <c r="O15" s="13"/>
    </row>
    <row r="16" spans="1:15" ht="44.4" customHeight="1" x14ac:dyDescent="0.3">
      <c r="A16" s="18" t="s">
        <v>121</v>
      </c>
      <c r="B16" s="6" t="s">
        <v>143</v>
      </c>
      <c r="C16" s="4" t="s">
        <v>132</v>
      </c>
      <c r="D16" s="16" t="s">
        <v>19</v>
      </c>
      <c r="E16" s="3" t="s">
        <v>133</v>
      </c>
      <c r="F16" s="3" t="s">
        <v>134</v>
      </c>
      <c r="G16" s="3" t="s">
        <v>135</v>
      </c>
      <c r="H16" s="33"/>
      <c r="I16" s="33"/>
      <c r="J16" s="33"/>
      <c r="K16" s="3" t="s">
        <v>68</v>
      </c>
      <c r="L16" s="4" t="str">
        <f>VLOOKUP(Table1[[#This Row],[Importance]],'Logic and Calculation'!$H$3:$J$12,3,FALSE)</f>
        <v>High</v>
      </c>
      <c r="M16" s="4">
        <v>9</v>
      </c>
      <c r="N16" s="4">
        <f>VLOOKUP(Table1[[#This Row],[Importance]],'Logic and Calculation'!$H$3:$J$12,2,FALSE)</f>
        <v>-15</v>
      </c>
      <c r="O16" s="13"/>
    </row>
    <row r="17" spans="1:15" ht="44.4" customHeight="1" x14ac:dyDescent="0.3">
      <c r="A17" s="18" t="s">
        <v>121</v>
      </c>
      <c r="B17" s="6" t="s">
        <v>144</v>
      </c>
      <c r="C17" s="4" t="s">
        <v>136</v>
      </c>
      <c r="D17" s="16" t="s">
        <v>19</v>
      </c>
      <c r="E17" s="3" t="s">
        <v>137</v>
      </c>
      <c r="F17" s="3" t="s">
        <v>138</v>
      </c>
      <c r="G17" s="3" t="s">
        <v>139</v>
      </c>
      <c r="H17" s="33"/>
      <c r="I17" s="33"/>
      <c r="J17" s="33"/>
      <c r="K17" s="3" t="s">
        <v>71</v>
      </c>
      <c r="L17" s="4" t="str">
        <f>VLOOKUP(Table1[[#This Row],[Importance]],'Logic and Calculation'!$H$3:$J$12,3,FALSE)</f>
        <v>Critical</v>
      </c>
      <c r="M17" s="4">
        <v>10</v>
      </c>
      <c r="N17" s="4">
        <f>VLOOKUP(Table1[[#This Row],[Importance]],'Logic and Calculation'!$H$3:$J$12,2,FALSE)</f>
        <v>-18</v>
      </c>
      <c r="O17" s="13"/>
    </row>
  </sheetData>
  <phoneticPr fontId="10" type="noConversion"/>
  <conditionalFormatting sqref="D2:D17">
    <cfRule type="cellIs" dxfId="3" priority="4" stopIfTrue="1" operator="equal">
      <formula>"OK"</formula>
    </cfRule>
    <cfRule type="cellIs" dxfId="2" priority="5" stopIfTrue="1" operator="equal">
      <formula>"PARTIAL"</formula>
    </cfRule>
    <cfRule type="cellIs" dxfId="1" priority="6" stopIfTrue="1" operator="equal">
      <formula>"FLAG"</formula>
    </cfRule>
  </conditionalFormatting>
  <dataValidations count="1">
    <dataValidation type="list" allowBlank="1" sqref="D2:D17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23"/>
  <sheetViews>
    <sheetView workbookViewId="0">
      <pane ySplit="7" topLeftCell="A8" activePane="bottomLeft" state="frozen"/>
      <selection pane="bottomLeft" activeCell="H31" sqref="H31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4</v>
      </c>
      <c r="B1" s="2" t="s">
        <v>10</v>
      </c>
      <c r="C1" s="2" t="s">
        <v>5</v>
      </c>
      <c r="D1" s="2" t="s">
        <v>11</v>
      </c>
      <c r="E1" s="2" t="s">
        <v>17</v>
      </c>
      <c r="F1" s="2" t="s">
        <v>21</v>
      </c>
    </row>
    <row r="2" spans="1:13" x14ac:dyDescent="0.3">
      <c r="A2" t="s">
        <v>22</v>
      </c>
      <c r="B2">
        <v>100</v>
      </c>
      <c r="D2" t="s">
        <v>23</v>
      </c>
      <c r="H2" s="10" t="s">
        <v>16</v>
      </c>
      <c r="I2" s="10" t="s">
        <v>24</v>
      </c>
      <c r="J2" s="10" t="s">
        <v>25</v>
      </c>
      <c r="L2" s="26" t="s">
        <v>1</v>
      </c>
      <c r="M2" s="26" t="s">
        <v>26</v>
      </c>
    </row>
    <row r="3" spans="1:13" x14ac:dyDescent="0.3">
      <c r="A3" t="s">
        <v>27</v>
      </c>
      <c r="B3">
        <f>SUM(F8:F958)</f>
        <v>0</v>
      </c>
      <c r="D3" t="s">
        <v>48</v>
      </c>
      <c r="H3">
        <v>10</v>
      </c>
      <c r="I3">
        <v>-18</v>
      </c>
      <c r="J3" t="s">
        <v>28</v>
      </c>
      <c r="L3" t="s">
        <v>42</v>
      </c>
      <c r="M3" t="s">
        <v>29</v>
      </c>
    </row>
    <row r="4" spans="1:13" x14ac:dyDescent="0.3">
      <c r="A4" t="s">
        <v>30</v>
      </c>
      <c r="B4">
        <f>B2+B3</f>
        <v>100</v>
      </c>
      <c r="D4" t="s">
        <v>31</v>
      </c>
      <c r="H4">
        <v>9</v>
      </c>
      <c r="I4">
        <v>-15</v>
      </c>
      <c r="J4" t="s">
        <v>32</v>
      </c>
      <c r="L4" t="s">
        <v>33</v>
      </c>
      <c r="M4" t="s">
        <v>34</v>
      </c>
    </row>
    <row r="5" spans="1:13" x14ac:dyDescent="0.3">
      <c r="A5" t="s">
        <v>1</v>
      </c>
      <c r="B5" t="str">
        <f>IF(B4&gt;=75,"Is Compliant",IF(AND(B4&lt;=74,B4&gt;=40),"Need Improvement","Non-Compliant"))</f>
        <v>Is Compliant</v>
      </c>
      <c r="D5" t="s">
        <v>35</v>
      </c>
      <c r="H5">
        <v>8</v>
      </c>
      <c r="I5">
        <v>-13</v>
      </c>
      <c r="J5" t="s">
        <v>32</v>
      </c>
      <c r="L5" t="s">
        <v>36</v>
      </c>
      <c r="M5" t="s">
        <v>37</v>
      </c>
    </row>
    <row r="6" spans="1:13" x14ac:dyDescent="0.3">
      <c r="A6" t="s">
        <v>38</v>
      </c>
      <c r="B6" t="s">
        <v>39</v>
      </c>
      <c r="H6">
        <v>7</v>
      </c>
      <c r="I6">
        <v>-11</v>
      </c>
      <c r="J6" t="s">
        <v>20</v>
      </c>
    </row>
    <row r="7" spans="1:13" x14ac:dyDescent="0.3">
      <c r="H7">
        <v>6</v>
      </c>
      <c r="I7">
        <v>-9</v>
      </c>
      <c r="J7" t="s">
        <v>20</v>
      </c>
    </row>
    <row r="8" spans="1:13" x14ac:dyDescent="0.3">
      <c r="A8" t="str">
        <f>Framework_Reference!B2</f>
        <v>WM-F001</v>
      </c>
      <c r="B8" t="str">
        <f>Framework_Reference!A2</f>
        <v>Campaign Structure</v>
      </c>
      <c r="C8" t="str">
        <f>Framework_Reference!C2</f>
        <v>Sponsored Products Coverage</v>
      </c>
      <c r="D8" t="str">
        <f>Framework_Reference!D2</f>
        <v>OK</v>
      </c>
      <c r="E8">
        <f>Framework_Reference!N2</f>
        <v>-13</v>
      </c>
      <c r="F8">
        <f t="shared" ref="F8" si="0">IF(D8="FLAG",E8,IF(D8="PARTIAL",E8*0.5,0))</f>
        <v>0</v>
      </c>
      <c r="H8">
        <v>5</v>
      </c>
      <c r="I8">
        <v>-7</v>
      </c>
      <c r="J8" t="s">
        <v>20</v>
      </c>
    </row>
    <row r="9" spans="1:13" x14ac:dyDescent="0.3">
      <c r="A9" t="str">
        <f>Framework_Reference!B3</f>
        <v>WM-F002</v>
      </c>
      <c r="B9" t="str">
        <f>Framework_Reference!A3</f>
        <v>Campaign Structure</v>
      </c>
      <c r="C9" t="str">
        <f>Framework_Reference!C3</f>
        <v>Sponsored Brands / Video Coverage</v>
      </c>
      <c r="D9" t="str">
        <f>Framework_Reference!D3</f>
        <v>OK</v>
      </c>
      <c r="E9">
        <f>Framework_Reference!N3</f>
        <v>-9</v>
      </c>
      <c r="F9">
        <f t="shared" ref="F9:F21" si="1">IF(D9="FLAG",E9,IF(D9="PARTIAL",E9*0.5,0))</f>
        <v>0</v>
      </c>
      <c r="H9">
        <v>4</v>
      </c>
      <c r="I9">
        <v>-5</v>
      </c>
      <c r="J9" t="s">
        <v>40</v>
      </c>
    </row>
    <row r="10" spans="1:13" x14ac:dyDescent="0.3">
      <c r="A10" t="str">
        <f>Framework_Reference!B4</f>
        <v>WM-F003</v>
      </c>
      <c r="B10" t="str">
        <f>Framework_Reference!A4</f>
        <v>Campaign Structure</v>
      </c>
      <c r="C10" t="str">
        <f>Framework_Reference!C4</f>
        <v>Sponsored Display (SD) Utilization</v>
      </c>
      <c r="D10" t="str">
        <f>Framework_Reference!D4</f>
        <v>OK</v>
      </c>
      <c r="E10">
        <f>Framework_Reference!N4</f>
        <v>-13</v>
      </c>
      <c r="F10">
        <f t="shared" si="1"/>
        <v>0</v>
      </c>
      <c r="H10">
        <v>3</v>
      </c>
      <c r="I10">
        <v>-3</v>
      </c>
      <c r="J10" t="s">
        <v>40</v>
      </c>
    </row>
    <row r="11" spans="1:13" x14ac:dyDescent="0.3">
      <c r="A11" t="str">
        <f>Framework_Reference!B5</f>
        <v>WM-F004</v>
      </c>
      <c r="B11" t="str">
        <f>Framework_Reference!A5</f>
        <v>Campaign Structure</v>
      </c>
      <c r="C11" t="str">
        <f>Framework_Reference!C5</f>
        <v>SB Funded at Min 2% of Spend</v>
      </c>
      <c r="D11" t="str">
        <f>Framework_Reference!D5</f>
        <v>OK</v>
      </c>
      <c r="E11">
        <f>Framework_Reference!N5</f>
        <v>-13</v>
      </c>
      <c r="F11">
        <f t="shared" si="1"/>
        <v>0</v>
      </c>
      <c r="H11">
        <v>2</v>
      </c>
      <c r="I11">
        <v>-2</v>
      </c>
      <c r="J11" t="s">
        <v>41</v>
      </c>
    </row>
    <row r="12" spans="1:13" x14ac:dyDescent="0.3">
      <c r="A12" t="str">
        <f>Framework_Reference!B6</f>
        <v>WM-F005</v>
      </c>
      <c r="B12" t="str">
        <f>Framework_Reference!A6</f>
        <v>Campaign Structure</v>
      </c>
      <c r="C12" t="str">
        <f>Framework_Reference!C6</f>
        <v>SPT</v>
      </c>
      <c r="D12" t="str">
        <f>Framework_Reference!D6</f>
        <v>OK</v>
      </c>
      <c r="E12">
        <f>Framework_Reference!N6</f>
        <v>-9</v>
      </c>
      <c r="F12">
        <f t="shared" si="1"/>
        <v>0</v>
      </c>
      <c r="H12">
        <v>1</v>
      </c>
      <c r="I12">
        <v>-1</v>
      </c>
      <c r="J12" t="s">
        <v>41</v>
      </c>
    </row>
    <row r="13" spans="1:13" x14ac:dyDescent="0.3">
      <c r="A13" t="str">
        <f>Framework_Reference!B7</f>
        <v>WM-F006</v>
      </c>
      <c r="B13" t="str">
        <f>Framework_Reference!A7</f>
        <v>Campaign Structure</v>
      </c>
      <c r="C13" t="str">
        <f>Framework_Reference!C7</f>
        <v xml:space="preserve">WATM </v>
      </c>
      <c r="D13" t="str">
        <f>Framework_Reference!D7</f>
        <v>OK</v>
      </c>
      <c r="E13">
        <f>Framework_Reference!N7</f>
        <v>-7</v>
      </c>
      <c r="F13">
        <f t="shared" si="1"/>
        <v>0</v>
      </c>
    </row>
    <row r="14" spans="1:13" x14ac:dyDescent="0.3">
      <c r="A14" t="str">
        <f>Framework_Reference!B8</f>
        <v>WM-F007</v>
      </c>
      <c r="B14" t="str">
        <f>Framework_Reference!A8</f>
        <v>Campaign Structure</v>
      </c>
      <c r="C14" t="str">
        <f>Framework_Reference!C8</f>
        <v>ATM Catalog Coverage Rate</v>
      </c>
      <c r="D14" t="str">
        <f>Framework_Reference!D8</f>
        <v>OK</v>
      </c>
      <c r="E14">
        <f>Framework_Reference!N8</f>
        <v>-13</v>
      </c>
      <c r="F14">
        <f t="shared" si="1"/>
        <v>0</v>
      </c>
    </row>
    <row r="15" spans="1:13" x14ac:dyDescent="0.3">
      <c r="A15" t="str">
        <f>Framework_Reference!B9</f>
        <v>WM-F008</v>
      </c>
      <c r="B15" t="str">
        <f>Framework_Reference!A9</f>
        <v>Campaign Structure</v>
      </c>
      <c r="C15" t="str">
        <f>Framework_Reference!C9</f>
        <v>Brand (BA) Layer Exists</v>
      </c>
      <c r="D15" t="str">
        <f>Framework_Reference!D9</f>
        <v>OK</v>
      </c>
      <c r="E15">
        <f>Framework_Reference!N9</f>
        <v>-18</v>
      </c>
      <c r="F15">
        <f t="shared" si="1"/>
        <v>0</v>
      </c>
    </row>
    <row r="16" spans="1:13" x14ac:dyDescent="0.3">
      <c r="A16" t="str">
        <f>Framework_Reference!B10</f>
        <v>WM-F009</v>
      </c>
      <c r="B16" t="str">
        <f>Framework_Reference!A10</f>
        <v>Targeting &amp; Keywords</v>
      </c>
      <c r="C16" t="str">
        <f>Framework_Reference!C10</f>
        <v>Auto vs Manual Spend Ratio</v>
      </c>
      <c r="D16" t="str">
        <f>Framework_Reference!D10</f>
        <v>OK</v>
      </c>
      <c r="E16">
        <f>Framework_Reference!N10</f>
        <v>-13</v>
      </c>
      <c r="F16">
        <f t="shared" si="1"/>
        <v>0</v>
      </c>
    </row>
    <row r="17" spans="1:6" x14ac:dyDescent="0.3">
      <c r="A17" t="str">
        <f>Framework_Reference!B11</f>
        <v>WM-F010</v>
      </c>
      <c r="B17" t="str">
        <f>Framework_Reference!A11</f>
        <v>Targeting &amp; Keywords</v>
      </c>
      <c r="C17" t="str">
        <f>Framework_Reference!C11</f>
        <v>Sponsored Video (SV) ROAS Check</v>
      </c>
      <c r="D17" t="str">
        <f>Framework_Reference!D11</f>
        <v>OK</v>
      </c>
      <c r="E17">
        <f>Framework_Reference!N11</f>
        <v>-13</v>
      </c>
      <c r="F17">
        <f t="shared" si="1"/>
        <v>0</v>
      </c>
    </row>
    <row r="18" spans="1:6" x14ac:dyDescent="0.3">
      <c r="A18" t="str">
        <f>Framework_Reference!B12</f>
        <v>WM-F011</v>
      </c>
      <c r="B18" t="str">
        <f>Framework_Reference!A12</f>
        <v>Bidding &amp; Automation</v>
      </c>
      <c r="C18" t="str">
        <f>Framework_Reference!C12</f>
        <v>Bidding Strategy Configured</v>
      </c>
      <c r="D18" t="str">
        <f>Framework_Reference!D12</f>
        <v>OK</v>
      </c>
      <c r="E18">
        <f>Framework_Reference!N12</f>
        <v>-11</v>
      </c>
      <c r="F18">
        <f t="shared" si="1"/>
        <v>0</v>
      </c>
    </row>
    <row r="19" spans="1:6" x14ac:dyDescent="0.3">
      <c r="A19" t="str">
        <f>Framework_Reference!B13</f>
        <v>WM-F012</v>
      </c>
      <c r="B19" t="str">
        <f>Framework_Reference!A13</f>
        <v>Product Coverage</v>
      </c>
      <c r="C19" t="str">
        <f>Framework_Reference!C13</f>
        <v>Advertised Item Coverage Rate</v>
      </c>
      <c r="D19" t="str">
        <f>Framework_Reference!D13</f>
        <v>OK</v>
      </c>
      <c r="E19">
        <f>Framework_Reference!N13</f>
        <v>-18</v>
      </c>
      <c r="F19">
        <f t="shared" si="1"/>
        <v>0</v>
      </c>
    </row>
    <row r="20" spans="1:6" x14ac:dyDescent="0.3">
      <c r="A20" t="str">
        <f>Framework_Reference!B14</f>
        <v>WM-F013</v>
      </c>
      <c r="B20" t="str">
        <f>Framework_Reference!A14</f>
        <v>Product Coverage</v>
      </c>
      <c r="C20" t="str">
        <f>Framework_Reference!C14</f>
        <v>New Item Onboarding Velocity</v>
      </c>
      <c r="D20" t="str">
        <f>Framework_Reference!D14</f>
        <v>OK</v>
      </c>
      <c r="E20">
        <f>Framework_Reference!N14</f>
        <v>-9</v>
      </c>
      <c r="F20">
        <f t="shared" si="1"/>
        <v>0</v>
      </c>
    </row>
    <row r="21" spans="1:6" x14ac:dyDescent="0.3">
      <c r="A21" t="str">
        <f>Framework_Reference!B15</f>
        <v>WM-F014</v>
      </c>
      <c r="B21" t="str">
        <f>Framework_Reference!A15</f>
        <v>Product Coverage</v>
      </c>
      <c r="C21" t="str">
        <f>Framework_Reference!C15</f>
        <v>Item Review Status Health</v>
      </c>
      <c r="D21" t="str">
        <f>Framework_Reference!D15</f>
        <v>OK</v>
      </c>
      <c r="E21">
        <f>Framework_Reference!N15</f>
        <v>-13</v>
      </c>
      <c r="F21">
        <f t="shared" si="1"/>
        <v>0</v>
      </c>
    </row>
    <row r="22" spans="1:6" x14ac:dyDescent="0.3">
      <c r="A22" t="str">
        <f>Framework_Reference!B16</f>
        <v>WM-F015</v>
      </c>
      <c r="B22" t="str">
        <f>Framework_Reference!A16</f>
        <v>Product Coverage</v>
      </c>
      <c r="C22" t="str">
        <f>Framework_Reference!C16</f>
        <v>Item Availability &amp; Publish Status</v>
      </c>
      <c r="D22" t="str">
        <f>Framework_Reference!D16</f>
        <v>OK</v>
      </c>
      <c r="E22">
        <f>Framework_Reference!N16</f>
        <v>-15</v>
      </c>
      <c r="F22">
        <f t="shared" ref="F22:F23" si="2">IF(D22="FLAG",E22,IF(D22="PARTIAL",E22*0.5,0))</f>
        <v>0</v>
      </c>
    </row>
    <row r="23" spans="1:6" x14ac:dyDescent="0.3">
      <c r="A23" t="str">
        <f>Framework_Reference!B17</f>
        <v>WM-F016</v>
      </c>
      <c r="B23" t="str">
        <f>Framework_Reference!A17</f>
        <v>Product Coverage</v>
      </c>
      <c r="C23" t="str">
        <f>Framework_Reference!C17</f>
        <v>Zero-Inventory Items with Active Ad Spend</v>
      </c>
      <c r="D23" t="str">
        <f>Framework_Reference!D17</f>
        <v>OK</v>
      </c>
      <c r="E23">
        <f>Framework_Reference!N17</f>
        <v>-18</v>
      </c>
      <c r="F23">
        <f t="shared" si="2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Framework_Analysis</vt:lpstr>
      <vt:lpstr>Framework_Reference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2026-05-05T17:42:53Z</dcterms:modified>
</cp:coreProperties>
</file>